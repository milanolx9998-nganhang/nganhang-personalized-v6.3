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Duong Hieu\Desktop\ngan hang cau hoi\nganhang-personalized-v6.3\docs\thu-nghiem\"/>
    </mc:Choice>
  </mc:AlternateContent>
  <xr:revisionPtr revIDLastSave="0" documentId="8_{8518BCB0-70D2-4C98-8339-DE00C1157246}" xr6:coauthVersionLast="47" xr6:coauthVersionMax="47" xr10:uidLastSave="{00000000-0000-0000-0000-000000000000}"/>
  <bookViews>
    <workbookView xWindow="1884" yWindow="1884" windowWidth="17280" windowHeight="8964" xr2:uid="{00000000-000D-0000-FFFF-FFFF00000000}"/>
  </bookViews>
  <sheets>
    <sheet name="Hướng dẫn" sheetId="1" r:id="rId1"/>
    <sheet name="Chuẩn bị" sheetId="2" r:id="rId2"/>
    <sheet name="KB Học sinh" sheetId="3" r:id="rId3"/>
    <sheet name="KB Giáo viên" sheetId="4" r:id="rId4"/>
    <sheet name="KB Tổ trưởng" sheetId="5" r:id="rId5"/>
    <sheet name="Bảng bấm giờ" sheetId="6" r:id="rId6"/>
    <sheet name="Tổng hợp" sheetId="7" r:id="rId7"/>
  </sheets>
  <definedNames>
    <definedName name="_xlnm.Print_Titles" localSheetId="5">'Bảng bấm giờ'!$4:$4</definedName>
    <definedName name="_xlnm.Print_Titles" localSheetId="1">'Chuẩn bị'!$1:$3</definedName>
    <definedName name="_xlnm.Print_Titles" localSheetId="3">'KB Giáo viên'!$4:$4</definedName>
    <definedName name="_xlnm.Print_Titles" localSheetId="2">'KB Học sinh'!$4:$4</definedName>
    <definedName name="_xlnm.Print_Titles" localSheetId="4">'KB Tổ trưởng'!$4:$4</definedName>
    <definedName name="_xlnm.Print_Titles" localSheetId="6">'Tổng hợp'!$5:$5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16" i="7" l="1"/>
  <c r="N16" i="7"/>
  <c r="H16" i="7"/>
  <c r="G16" i="7"/>
  <c r="F16" i="7"/>
  <c r="E16" i="7"/>
  <c r="P15" i="7"/>
  <c r="N15" i="7"/>
  <c r="H15" i="7"/>
  <c r="G15" i="7"/>
  <c r="F15" i="7"/>
  <c r="E15" i="7"/>
  <c r="P14" i="7"/>
  <c r="N14" i="7"/>
  <c r="H14" i="7"/>
  <c r="G14" i="7"/>
  <c r="F14" i="7"/>
  <c r="E14" i="7"/>
  <c r="P13" i="7"/>
  <c r="N13" i="7"/>
  <c r="H13" i="7"/>
  <c r="G13" i="7"/>
  <c r="F13" i="7"/>
  <c r="E13" i="7"/>
  <c r="P12" i="7"/>
  <c r="N12" i="7"/>
  <c r="H12" i="7"/>
  <c r="G12" i="7"/>
  <c r="F12" i="7"/>
  <c r="E12" i="7"/>
  <c r="P11" i="7"/>
  <c r="N11" i="7"/>
  <c r="H11" i="7"/>
  <c r="G11" i="7"/>
  <c r="F11" i="7"/>
  <c r="E11" i="7"/>
  <c r="P10" i="7"/>
  <c r="N10" i="7"/>
  <c r="H10" i="7"/>
  <c r="G10" i="7"/>
  <c r="F10" i="7"/>
  <c r="E10" i="7"/>
  <c r="P9" i="7"/>
  <c r="N9" i="7"/>
  <c r="H9" i="7"/>
  <c r="G9" i="7"/>
  <c r="F9" i="7"/>
  <c r="E9" i="7"/>
  <c r="P8" i="7"/>
  <c r="N8" i="7"/>
  <c r="H8" i="7"/>
  <c r="G8" i="7"/>
  <c r="F8" i="7"/>
  <c r="E8" i="7"/>
  <c r="P7" i="7"/>
  <c r="N7" i="7"/>
  <c r="J7" i="7"/>
  <c r="H7" i="7"/>
  <c r="G7" i="7"/>
  <c r="F7" i="7"/>
  <c r="E7" i="7"/>
  <c r="P6" i="7"/>
  <c r="N6" i="7"/>
  <c r="J6" i="7"/>
  <c r="H6" i="7"/>
  <c r="G6" i="7"/>
  <c r="F6" i="7"/>
  <c r="E6" i="7"/>
  <c r="N105" i="6"/>
  <c r="M105" i="6"/>
  <c r="O105" i="6" s="1"/>
  <c r="D105" i="6"/>
  <c r="N104" i="6"/>
  <c r="M104" i="6"/>
  <c r="O104" i="6" s="1"/>
  <c r="D104" i="6"/>
  <c r="N103" i="6"/>
  <c r="M103" i="6"/>
  <c r="D103" i="6"/>
  <c r="N102" i="6"/>
  <c r="M102" i="6"/>
  <c r="O102" i="6" s="1"/>
  <c r="D102" i="6"/>
  <c r="N101" i="6"/>
  <c r="M101" i="6"/>
  <c r="O101" i="6" s="1"/>
  <c r="D101" i="6"/>
  <c r="N100" i="6"/>
  <c r="M100" i="6"/>
  <c r="O100" i="6" s="1"/>
  <c r="D100" i="6"/>
  <c r="N99" i="6"/>
  <c r="M99" i="6"/>
  <c r="O99" i="6" s="1"/>
  <c r="D99" i="6"/>
  <c r="N98" i="6"/>
  <c r="M98" i="6"/>
  <c r="O98" i="6" s="1"/>
  <c r="D98" i="6"/>
  <c r="N97" i="6"/>
  <c r="M97" i="6"/>
  <c r="O97" i="6" s="1"/>
  <c r="D97" i="6"/>
  <c r="N96" i="6"/>
  <c r="M96" i="6"/>
  <c r="O96" i="6" s="1"/>
  <c r="D96" i="6"/>
  <c r="N95" i="6"/>
  <c r="M95" i="6"/>
  <c r="D95" i="6"/>
  <c r="N94" i="6"/>
  <c r="M94" i="6"/>
  <c r="O94" i="6" s="1"/>
  <c r="D94" i="6"/>
  <c r="N93" i="6"/>
  <c r="M93" i="6"/>
  <c r="O93" i="6" s="1"/>
  <c r="D93" i="6"/>
  <c r="N92" i="6"/>
  <c r="M92" i="6"/>
  <c r="O92" i="6" s="1"/>
  <c r="D92" i="6"/>
  <c r="N91" i="6"/>
  <c r="M91" i="6"/>
  <c r="O91" i="6" s="1"/>
  <c r="D91" i="6"/>
  <c r="N90" i="6"/>
  <c r="M90" i="6"/>
  <c r="O90" i="6" s="1"/>
  <c r="D90" i="6"/>
  <c r="N89" i="6"/>
  <c r="M89" i="6"/>
  <c r="O89" i="6" s="1"/>
  <c r="D89" i="6"/>
  <c r="N88" i="6"/>
  <c r="M88" i="6"/>
  <c r="O88" i="6" s="1"/>
  <c r="D88" i="6"/>
  <c r="N87" i="6"/>
  <c r="M87" i="6"/>
  <c r="O87" i="6" s="1"/>
  <c r="D87" i="6"/>
  <c r="N86" i="6"/>
  <c r="M86" i="6"/>
  <c r="O86" i="6" s="1"/>
  <c r="D86" i="6"/>
  <c r="N85" i="6"/>
  <c r="M85" i="6"/>
  <c r="O85" i="6" s="1"/>
  <c r="D85" i="6"/>
  <c r="N84" i="6"/>
  <c r="M84" i="6"/>
  <c r="O84" i="6" s="1"/>
  <c r="D84" i="6"/>
  <c r="N83" i="6"/>
  <c r="M83" i="6"/>
  <c r="O83" i="6" s="1"/>
  <c r="D83" i="6"/>
  <c r="N82" i="6"/>
  <c r="M82" i="6"/>
  <c r="O82" i="6" s="1"/>
  <c r="D82" i="6"/>
  <c r="N81" i="6"/>
  <c r="M81" i="6"/>
  <c r="O81" i="6" s="1"/>
  <c r="D81" i="6"/>
  <c r="N80" i="6"/>
  <c r="M80" i="6"/>
  <c r="D80" i="6"/>
  <c r="N79" i="6"/>
  <c r="M79" i="6"/>
  <c r="O79" i="6" s="1"/>
  <c r="D79" i="6"/>
  <c r="N78" i="6"/>
  <c r="M78" i="6"/>
  <c r="O78" i="6" s="1"/>
  <c r="D78" i="6"/>
  <c r="N77" i="6"/>
  <c r="M77" i="6"/>
  <c r="O77" i="6" s="1"/>
  <c r="D77" i="6"/>
  <c r="N76" i="6"/>
  <c r="M76" i="6"/>
  <c r="O76" i="6" s="1"/>
  <c r="D76" i="6"/>
  <c r="N75" i="6"/>
  <c r="M75" i="6"/>
  <c r="O75" i="6" s="1"/>
  <c r="D75" i="6"/>
  <c r="N74" i="6"/>
  <c r="M74" i="6"/>
  <c r="O74" i="6" s="1"/>
  <c r="D74" i="6"/>
  <c r="N73" i="6"/>
  <c r="M73" i="6"/>
  <c r="O73" i="6" s="1"/>
  <c r="D73" i="6"/>
  <c r="N72" i="6"/>
  <c r="M72" i="6"/>
  <c r="O72" i="6" s="1"/>
  <c r="D72" i="6"/>
  <c r="N71" i="6"/>
  <c r="M71" i="6"/>
  <c r="O71" i="6" s="1"/>
  <c r="D71" i="6"/>
  <c r="N70" i="6"/>
  <c r="M70" i="6"/>
  <c r="O70" i="6" s="1"/>
  <c r="D70" i="6"/>
  <c r="N69" i="6"/>
  <c r="M69" i="6"/>
  <c r="O69" i="6" s="1"/>
  <c r="D69" i="6"/>
  <c r="N68" i="6"/>
  <c r="M68" i="6"/>
  <c r="O68" i="6" s="1"/>
  <c r="D68" i="6"/>
  <c r="N67" i="6"/>
  <c r="M67" i="6"/>
  <c r="O67" i="6" s="1"/>
  <c r="D67" i="6"/>
  <c r="N66" i="6"/>
  <c r="M66" i="6"/>
  <c r="O66" i="6" s="1"/>
  <c r="D66" i="6"/>
  <c r="N65" i="6"/>
  <c r="M65" i="6"/>
  <c r="D65" i="6"/>
  <c r="N64" i="6"/>
  <c r="M64" i="6"/>
  <c r="O64" i="6" s="1"/>
  <c r="D64" i="6"/>
  <c r="N63" i="6"/>
  <c r="M63" i="6"/>
  <c r="O63" i="6" s="1"/>
  <c r="D63" i="6"/>
  <c r="N62" i="6"/>
  <c r="M62" i="6"/>
  <c r="O62" i="6" s="1"/>
  <c r="D62" i="6"/>
  <c r="N61" i="6"/>
  <c r="M61" i="6"/>
  <c r="O61" i="6" s="1"/>
  <c r="D61" i="6"/>
  <c r="N60" i="6"/>
  <c r="M60" i="6"/>
  <c r="O60" i="6" s="1"/>
  <c r="D60" i="6"/>
  <c r="N59" i="6"/>
  <c r="M59" i="6"/>
  <c r="O59" i="6" s="1"/>
  <c r="D59" i="6"/>
  <c r="N58" i="6"/>
  <c r="M58" i="6"/>
  <c r="O58" i="6" s="1"/>
  <c r="D58" i="6"/>
  <c r="N57" i="6"/>
  <c r="M57" i="6"/>
  <c r="O57" i="6" s="1"/>
  <c r="D57" i="6"/>
  <c r="N56" i="6"/>
  <c r="M56" i="6"/>
  <c r="O56" i="6" s="1"/>
  <c r="D56" i="6"/>
  <c r="N55" i="6"/>
  <c r="M55" i="6"/>
  <c r="O55" i="6" s="1"/>
  <c r="D55" i="6"/>
  <c r="N54" i="6"/>
  <c r="M54" i="6"/>
  <c r="O54" i="6" s="1"/>
  <c r="D54" i="6"/>
  <c r="N53" i="6"/>
  <c r="M53" i="6"/>
  <c r="O53" i="6" s="1"/>
  <c r="D53" i="6"/>
  <c r="N52" i="6"/>
  <c r="M52" i="6"/>
  <c r="O52" i="6" s="1"/>
  <c r="D52" i="6"/>
  <c r="N51" i="6"/>
  <c r="M51" i="6"/>
  <c r="O51" i="6" s="1"/>
  <c r="D51" i="6"/>
  <c r="N50" i="6"/>
  <c r="M50" i="6"/>
  <c r="O50" i="6" s="1"/>
  <c r="D50" i="6"/>
  <c r="N49" i="6"/>
  <c r="M49" i="6"/>
  <c r="O49" i="6" s="1"/>
  <c r="D49" i="6"/>
  <c r="N48" i="6"/>
  <c r="M48" i="6"/>
  <c r="O48" i="6" s="1"/>
  <c r="D48" i="6"/>
  <c r="N47" i="6"/>
  <c r="M47" i="6"/>
  <c r="O47" i="6" s="1"/>
  <c r="D47" i="6"/>
  <c r="N46" i="6"/>
  <c r="M46" i="6"/>
  <c r="O46" i="6" s="1"/>
  <c r="D46" i="6"/>
  <c r="N45" i="6"/>
  <c r="M45" i="6"/>
  <c r="O45" i="6" s="1"/>
  <c r="D45" i="6"/>
  <c r="N44" i="6"/>
  <c r="M44" i="6"/>
  <c r="O44" i="6" s="1"/>
  <c r="D44" i="6"/>
  <c r="N43" i="6"/>
  <c r="M43" i="6"/>
  <c r="O43" i="6" s="1"/>
  <c r="D43" i="6"/>
  <c r="N42" i="6"/>
  <c r="M42" i="6"/>
  <c r="O42" i="6" s="1"/>
  <c r="D42" i="6"/>
  <c r="N41" i="6"/>
  <c r="M41" i="6"/>
  <c r="O41" i="6" s="1"/>
  <c r="D41" i="6"/>
  <c r="N40" i="6"/>
  <c r="M40" i="6"/>
  <c r="O40" i="6" s="1"/>
  <c r="D40" i="6"/>
  <c r="N39" i="6"/>
  <c r="M39" i="6"/>
  <c r="O39" i="6" s="1"/>
  <c r="D39" i="6"/>
  <c r="N38" i="6"/>
  <c r="M38" i="6"/>
  <c r="O38" i="6" s="1"/>
  <c r="D38" i="6"/>
  <c r="N37" i="6"/>
  <c r="M37" i="6"/>
  <c r="O37" i="6" s="1"/>
  <c r="D37" i="6"/>
  <c r="N36" i="6"/>
  <c r="M36" i="6"/>
  <c r="O36" i="6" s="1"/>
  <c r="D36" i="6"/>
  <c r="N35" i="6"/>
  <c r="M35" i="6"/>
  <c r="O35" i="6" s="1"/>
  <c r="D35" i="6"/>
  <c r="N34" i="6"/>
  <c r="M34" i="6"/>
  <c r="O34" i="6" s="1"/>
  <c r="D34" i="6"/>
  <c r="N33" i="6"/>
  <c r="M33" i="6"/>
  <c r="O33" i="6" s="1"/>
  <c r="D33" i="6"/>
  <c r="N32" i="6"/>
  <c r="M32" i="6"/>
  <c r="O32" i="6" s="1"/>
  <c r="D32" i="6"/>
  <c r="N31" i="6"/>
  <c r="M31" i="6"/>
  <c r="O31" i="6" s="1"/>
  <c r="D31" i="6"/>
  <c r="N30" i="6"/>
  <c r="M30" i="6"/>
  <c r="O30" i="6" s="1"/>
  <c r="D30" i="6"/>
  <c r="N29" i="6"/>
  <c r="M29" i="6"/>
  <c r="O29" i="6" s="1"/>
  <c r="D29" i="6"/>
  <c r="N28" i="6"/>
  <c r="M28" i="6"/>
  <c r="O28" i="6" s="1"/>
  <c r="D28" i="6"/>
  <c r="N27" i="6"/>
  <c r="M27" i="6"/>
  <c r="D27" i="6"/>
  <c r="N26" i="6"/>
  <c r="M26" i="6"/>
  <c r="O26" i="6" s="1"/>
  <c r="D26" i="6"/>
  <c r="N25" i="6"/>
  <c r="M25" i="6"/>
  <c r="O25" i="6" s="1"/>
  <c r="D25" i="6"/>
  <c r="N24" i="6"/>
  <c r="M24" i="6"/>
  <c r="O24" i="6" s="1"/>
  <c r="D24" i="6"/>
  <c r="N23" i="6"/>
  <c r="M23" i="6"/>
  <c r="D23" i="6"/>
  <c r="N22" i="6"/>
  <c r="M22" i="6"/>
  <c r="O22" i="6" s="1"/>
  <c r="D22" i="6"/>
  <c r="N21" i="6"/>
  <c r="M21" i="6"/>
  <c r="O21" i="6" s="1"/>
  <c r="D21" i="6"/>
  <c r="N20" i="6"/>
  <c r="M20" i="6"/>
  <c r="D20" i="6"/>
  <c r="N19" i="6"/>
  <c r="M19" i="6"/>
  <c r="O19" i="6" s="1"/>
  <c r="D19" i="6"/>
  <c r="N18" i="6"/>
  <c r="M18" i="6"/>
  <c r="O18" i="6" s="1"/>
  <c r="D18" i="6"/>
  <c r="N17" i="6"/>
  <c r="M17" i="6"/>
  <c r="O17" i="6" s="1"/>
  <c r="D17" i="6"/>
  <c r="N16" i="6"/>
  <c r="M16" i="6"/>
  <c r="O16" i="6" s="1"/>
  <c r="D16" i="6"/>
  <c r="N15" i="6"/>
  <c r="M15" i="6"/>
  <c r="O15" i="6" s="1"/>
  <c r="D15" i="6"/>
  <c r="N14" i="6"/>
  <c r="M14" i="6"/>
  <c r="O14" i="6" s="1"/>
  <c r="D14" i="6"/>
  <c r="N13" i="6"/>
  <c r="M13" i="6"/>
  <c r="O13" i="6" s="1"/>
  <c r="D13" i="6"/>
  <c r="N12" i="6"/>
  <c r="M12" i="6"/>
  <c r="O12" i="6" s="1"/>
  <c r="D12" i="6"/>
  <c r="N11" i="6"/>
  <c r="M11" i="6"/>
  <c r="O11" i="6" s="1"/>
  <c r="D11" i="6"/>
  <c r="N10" i="6"/>
  <c r="M10" i="6"/>
  <c r="O10" i="6" s="1"/>
  <c r="D10" i="6"/>
  <c r="N9" i="6"/>
  <c r="M9" i="6"/>
  <c r="O9" i="6" s="1"/>
  <c r="D9" i="6"/>
  <c r="N8" i="6"/>
  <c r="M8" i="6"/>
  <c r="O8" i="6" s="1"/>
  <c r="D8" i="6"/>
  <c r="N7" i="6"/>
  <c r="M7" i="6"/>
  <c r="O7" i="6" s="1"/>
  <c r="D7" i="6"/>
  <c r="N6" i="6"/>
  <c r="M6" i="6"/>
  <c r="O6" i="6" s="1"/>
  <c r="D6" i="6"/>
  <c r="N5" i="6"/>
  <c r="M5" i="6"/>
  <c r="D5" i="6"/>
  <c r="O95" i="6" l="1"/>
  <c r="O80" i="6"/>
  <c r="O27" i="6"/>
  <c r="O23" i="6"/>
  <c r="O5" i="6"/>
  <c r="I8" i="7"/>
  <c r="O8" i="7"/>
  <c r="Q8" i="7"/>
  <c r="O103" i="6"/>
  <c r="J9" i="7"/>
  <c r="J11" i="7"/>
  <c r="J14" i="7"/>
  <c r="J13" i="7"/>
  <c r="J15" i="7"/>
  <c r="J10" i="7"/>
  <c r="O65" i="6"/>
  <c r="J16" i="7"/>
  <c r="O20" i="6"/>
  <c r="J12" i="7"/>
  <c r="J8" i="7"/>
  <c r="Q16" i="7"/>
  <c r="B31" i="7" s="1"/>
  <c r="O16" i="7"/>
  <c r="I16" i="7"/>
  <c r="I15" i="7"/>
  <c r="Q15" i="7"/>
  <c r="O15" i="7"/>
  <c r="Q14" i="7"/>
  <c r="B27" i="7" s="1"/>
  <c r="I14" i="7"/>
  <c r="O14" i="7"/>
  <c r="I13" i="7"/>
  <c r="Q13" i="7"/>
  <c r="B30" i="7" s="1"/>
  <c r="O13" i="7"/>
  <c r="Q12" i="7"/>
  <c r="I12" i="7"/>
  <c r="O12" i="7"/>
  <c r="O11" i="7"/>
  <c r="Q11" i="7"/>
  <c r="B29" i="7" s="1"/>
  <c r="I11" i="7"/>
  <c r="Q10" i="7"/>
  <c r="B26" i="7" s="1"/>
  <c r="O10" i="7"/>
  <c r="I10" i="7"/>
  <c r="Q9" i="7"/>
  <c r="O9" i="7"/>
  <c r="I9" i="7"/>
  <c r="K7" i="7" a="1"/>
  <c r="K7" i="7" s="1"/>
  <c r="L7" i="7" a="1"/>
  <c r="L7" i="7" s="1"/>
  <c r="M7" i="7" a="1"/>
  <c r="M7" i="7" s="1"/>
  <c r="I7" i="7"/>
  <c r="O7" i="7"/>
  <c r="Q7" i="7"/>
  <c r="B28" i="7" s="1"/>
  <c r="L6" i="7" a="1"/>
  <c r="L6" i="7" s="1"/>
  <c r="K6" i="7" a="1"/>
  <c r="K6" i="7" s="1"/>
  <c r="M6" i="7" a="1"/>
  <c r="M6" i="7" s="1"/>
  <c r="Q6" i="7"/>
  <c r="B25" i="7" s="1"/>
  <c r="I6" i="7"/>
  <c r="O6" i="7"/>
  <c r="K9" i="7" l="1" a="1"/>
  <c r="K9" i="7" s="1"/>
  <c r="L9" i="7" a="1"/>
  <c r="L9" i="7" s="1"/>
  <c r="M9" i="7" a="1"/>
  <c r="M9" i="7" s="1"/>
  <c r="M11" i="7" a="1"/>
  <c r="M11" i="7" s="1"/>
  <c r="L11" i="7" a="1"/>
  <c r="L11" i="7" s="1"/>
  <c r="K11" i="7" a="1"/>
  <c r="K11" i="7" s="1"/>
  <c r="L14" i="7" a="1"/>
  <c r="L14" i="7" s="1"/>
  <c r="M14" i="7" a="1"/>
  <c r="M14" i="7" s="1"/>
  <c r="K14" i="7" a="1"/>
  <c r="K14" i="7" s="1"/>
  <c r="L13" i="7" a="1"/>
  <c r="L13" i="7" s="1"/>
  <c r="M13" i="7" a="1"/>
  <c r="M13" i="7" s="1"/>
  <c r="K13" i="7" a="1"/>
  <c r="K13" i="7" s="1"/>
  <c r="L15" i="7" a="1"/>
  <c r="L15" i="7" s="1"/>
  <c r="M15" i="7" a="1"/>
  <c r="M15" i="7" s="1"/>
  <c r="K15" i="7" a="1"/>
  <c r="K15" i="7" s="1"/>
  <c r="L10" i="7" a="1"/>
  <c r="L10" i="7" s="1"/>
  <c r="M10" i="7" a="1"/>
  <c r="M10" i="7" s="1"/>
  <c r="K10" i="7" a="1"/>
  <c r="K10" i="7" s="1"/>
  <c r="K16" i="7" a="1"/>
  <c r="K16" i="7" s="1"/>
  <c r="L16" i="7" a="1"/>
  <c r="L16" i="7" s="1"/>
  <c r="M16" i="7" a="1"/>
  <c r="M16" i="7" s="1"/>
  <c r="K12" i="7" a="1"/>
  <c r="K12" i="7" s="1"/>
  <c r="L12" i="7" a="1"/>
  <c r="L12" i="7" s="1"/>
  <c r="M12" i="7" a="1"/>
  <c r="M12" i="7" s="1"/>
  <c r="K8" i="7" a="1"/>
  <c r="K8" i="7" s="1"/>
  <c r="M8" i="7" a="1"/>
  <c r="M8" i="7" s="1"/>
  <c r="L8" i="7" a="1"/>
  <c r="L8" i="7" s="1"/>
</calcChain>
</file>

<file path=xl/sharedStrings.xml><?xml version="1.0" encoding="utf-8"?>
<sst xmlns="http://schemas.openxmlformats.org/spreadsheetml/2006/main" count="336" uniqueCount="226">
  <si>
    <t>THỬ VỚI NGƯỜI THẬT — GIAI ĐOẠN 3: KỊCH BẢN VÀ BẢNG BẤM GIỜ</t>
  </si>
  <si>
    <t>Ngân hàng câu hỏi · soạn 03/10/2026. File gồm 7 sheet: Hướng dẫn · Chuẩn bị · 3 kịch bản (Học sinh, Giáo viên, Tổ trưởng) · Bảng bấm giờ · Tổng hợp.</t>
  </si>
  <si>
    <t>1. Mục đích</t>
  </si>
  <si>
    <t>Xem người dùng thật có tự làm được các việc chính hay không và mất bao lâu. Kết quả quyết định việc làm tiếp theo (bản đồ bài học, giao bài từng bước, cải tiến màn duyệt…), không phải để chấm điểm người thử.</t>
  </si>
  <si>
    <t>2. Ba chỉ tiêu đã chốt (25/09/2026)</t>
  </si>
  <si>
    <t>• Chỉ tiêu 1 — Học sinh tự luyện: từ trang chủ đến khi câu hỏi đầu tiên hiện ra, không quá 30 giây.</t>
  </si>
  <si>
    <t>• Chỉ tiêu 2 — Giáo viên giao bài: từ trang chủ đến khi hiện dòng "✓ Đã giao", không quá 2 phút (120 giây).</t>
  </si>
  <si>
    <t>• Chỉ tiêu 3 — Tổ trưởng duyệt câu: trung bình không quá 15 giây cho mỗi câu (đo trên 10 câu liên tiếp).</t>
  </si>
  <si>
    <t>Một chỉ tiêu ĐẠT khi: thời gian trung vị không vượt chỉ tiêu VÀ ít nhất 80% người thử tự làm được, không cần trợ giúp. Ngưỡng 80% là giả định của người soạn, sửa được ở sheet "Tổng hợp" (ô D3).</t>
  </si>
  <si>
    <t>3. Ai thử</t>
  </si>
  <si>
    <t>5–10 học sinh, 3–5 giáo viên, 1–2 tổ trưởng. Nên có cả người quen máy tính lẫn người ít dùng; học sinh thử trên thiết bị các em hay dùng (điện thoại hoặc máy tính).</t>
  </si>
  <si>
    <t>Mỗi lượt chỉ một người thử. Thời lượng: học sinh khoảng 15–20 phút, giáo viên 25–30 phút, tổ trưởng 20 phút.</t>
  </si>
  <si>
    <t>4. Cách tổ chức một lượt thử</t>
  </si>
  <si>
    <t>Bước 1. Làm xong danh sách ở sheet "Chuẩn bị" trước buổi thử.</t>
  </si>
  <si>
    <t>Bước 2. In sheet kịch bản của vai tương ứng (mỗi người thử một tờ) để ghi tay, hoặc mở file này trên một máy khác.</t>
  </si>
  <si>
    <t>Bước 3. Nói với người thử: "Chúng tôi đang thử phần mềm, không thử thầy cô / em. Làm sai hay không tìm thấy là lỗi của phần mềm. Vừa làm vừa nói ra điều mình đang nghĩ."</t>
  </si>
  <si>
    <t>Bước 4. Đọc NGUYÊN VĂN cột "Lời đọc cho người thử". Không nói tên nút, không chỉ tay vào màn hình.</t>
  </si>
  <si>
    <t>Bước 5. Bấm giờ đúng theo cột "Bắt đầu bấm giờ" và "Dừng bấm giờ". Dùng đồng hồ bấm giây trên điện thoại.</t>
  </si>
  <si>
    <t>Bước 6. Ghi kết quả từng nhiệm vụ vào sheet "Bảng bấm giờ" (mỗi nhiệm vụ một dòng).</t>
  </si>
  <si>
    <t>Bước 7. Hỏi các câu ở cuối kịch bản, ghi lại lời nói nguyên văn.</t>
  </si>
  <si>
    <t>5. Quy tắc cho người quan sát</t>
  </si>
  <si>
    <t>• Không giúp, không gợi ý, không gật / lắc đầu. Người thử hỏi thì đáp: "Thầy cô / em thử làm theo cách mình nghĩ xem."</t>
  </si>
  <si>
    <t>• Người thử kẹt quá 60 giây (học sinh) hoặc 2 phút (giáo viên, tổ trưởng): gợi ý MỘT lần, vẫn bấm giờ tiếp, và ghi kết quả "Cần trợ giúp".</t>
  </si>
  <si>
    <t>• Người thử bỏ cuộc hoặc quá 3 lần chỉ tiêu mà chưa xong: dừng, ghi "Không xong", chuyển nhiệm vụ sau.</t>
  </si>
  <si>
    <t>• Ghi lại chỗ người thử dừng lại lâu, bấm nhầm, đọc đi đọc lại, hoặc nói "cái này là gì?".</t>
  </si>
  <si>
    <t>6. Cách ghi vào "Bảng bấm giờ"</t>
  </si>
  <si>
    <t>• Chỉ điền ô nền VÀNG. Ô trắng là công thức, tự tính.</t>
  </si>
  <si>
    <t>• Mã người thử: HS01, HS02… GV01… TT01… KHÔNG ghi tên thật (học sinh là trẻ vị thành niên).</t>
  </si>
  <si>
    <t>• Thời gian ghi bằng GIÂY (1 phút 25 giây = 85). Riêng TT1 ghi tổng số giây và ghi 10 vào cột "Số câu"; bảng tự chia ra giây mỗi câu.</t>
  </si>
  <si>
    <t>• Dòng xám "VÍ DỤ" cho thấy cách ghi; dòng này không được tính vào tổng hợp.</t>
  </si>
  <si>
    <t>7. Đọc kết quả ở sheet "Tổng hợp"</t>
  </si>
  <si>
    <t>• Cột "Kết luận": ĐẠT / CHƯA ĐẠT cho 3 nhiệm vụ có chỉ tiêu; Ổn / Cần sửa cho nhiệm vụ còn lại (theo tỉ lệ tự làm được).</t>
  </si>
  <si>
    <t>• Phần "Việc làm tiếp theo" ở cuối sheet nối kết luận với việc nên làm trước.</t>
  </si>
  <si>
    <t>• Mỗi nhiệm vụ nên có từ 3 lượt thử trở lên (tổ trưởng: tất cả 1–2 người) rồi mới tin kết luận.</t>
  </si>
  <si>
    <t>8. Riêng tư và dữ liệu</t>
  </si>
  <si>
    <t>• Không quay phim, chụp mặt học sinh. Muốn quay màn hình phải được người thử (và phụ huynh, nếu là học sinh) đồng ý.</t>
  </si>
  <si>
    <t>• Buổi thử tạo dữ liệu thật trên web (bài giao, câu hỏi nhập, câu được duyệt). Xem mục dọn dẹp ở sheet "Chuẩn bị".</t>
  </si>
  <si>
    <t>• Không ghi mật khẩu vào file này.</t>
  </si>
  <si>
    <t>CHUẨN BỊ TRƯỚC BUỔI THỬ</t>
  </si>
  <si>
    <t>Đánh dấu "Xong" ở ô vàng. Thiếu một mục thì nhiệm vụ liên quan sẽ không thử được — ghi rõ ở cột Ghi chú.</t>
  </si>
  <si>
    <t>STT</t>
  </si>
  <si>
    <t>Việc cần làm</t>
  </si>
  <si>
    <t>Ai làm</t>
  </si>
  <si>
    <t>Xong?</t>
  </si>
  <si>
    <t>Ghi chú</t>
  </si>
  <si>
    <t>Chọn môn + khối để thử (đề xuất KHTN 9: đã có chương trình, Bài và câu hỏi).</t>
  </si>
  <si>
    <t>Anh Hiếu</t>
  </si>
  <si>
    <t>Tạo một lớp thử (ví dụ "9-THỬ") có đủ các học sinh sẽ thử; giáo viên thử được phân công dạy lớp này đúng môn.</t>
  </si>
  <si>
    <t>Quản trị</t>
  </si>
  <si>
    <t>Mỗi người thử đăng nhập được bằng tài khoản của mình (thử đăng nhập trước một ngày).</t>
  </si>
  <si>
    <t>Có ít nhất 2 Bài, mỗi Bài từ 10 câu ĐÃ DUYỆT trở lên. Kiểm bằng tài khoản học sinh: vào tự luyện, tick Bài đó, thấy dòng "✓ Có đủ câu phù hợp". Ghi tên 2 Bài vào Ghi chú để đọc trong kịch bản.</t>
  </si>
  <si>
    <t>Tổ trưởng</t>
  </si>
  <si>
    <t>Tạo sẵn một bài giao 10 câu cho lớp thử, hạn nộp sau buổi thử (dùng cho nhiệm vụ HS2). Đặt tên bắt đầu bằng "THỬ".</t>
  </si>
  <si>
    <t>Giáo viên</t>
  </si>
  <si>
    <t>Có 12 câu đang CHỜ DUYỆT của tổ: 10 câu tốt, 1 câu cố ý sai đáp án (cho TT2), 1 câu dự phòng. Do một giáo viên nhập và gửi duyệt trước.</t>
  </si>
  <si>
    <t>Mỗi giáo viên thử có một tệp Word 5 câu đúng mẫu, nội dung KHÁC NHAU (nhập trùng sẽ bị báo nghi trùng). Lấy mẫu ở màn Nhập câu → "Tải mẫu Word".</t>
  </si>
  <si>
    <t>Chuẩn bị một câu hỏi in giấy + file Chương trình của môn/khối (cho nhiệm vụ GV4: viết mã câu).</t>
  </si>
  <si>
    <t>In kịch bản: mỗi người thử một tờ theo vai. Chuẩn bị đồng hồ bấm giây.</t>
  </si>
  <si>
    <t>Người quan sát</t>
  </si>
  <si>
    <t>Phòng yên tĩnh, mạng ổn định; mỗi lượt một người thử, một người quan sát (thêm một người ghi chép nếu có).</t>
  </si>
  <si>
    <t>SAU BUỔI THỬ — dọn dẹp: lưu trữ các bài giao tên "THỬ…"; câu nhập thử chưa cần dùng thì để nguyên ở dạng nháp hoặc lưu trữ; đổi mật khẩu nếu đã dùng tài khoản thử chung.</t>
  </si>
  <si>
    <t>KỊCH BẢN — HỌC SINH (khoảng 15–20 phút)</t>
  </si>
  <si>
    <t>Trước khi bắt đầu: học sinh đã đăng nhập, đang ở trang chủ "Việc học của em". Nói câu mở đầu ở sheet Hướng dẫn (bước 3).</t>
  </si>
  <si>
    <t>Mã người thử: ............   Ngày: ...... / ...... / 2026   Thiết bị: ..............................   Người quan sát: ..............................</t>
  </si>
  <si>
    <t>Mã</t>
  </si>
  <si>
    <t>Nhiệm vụ</t>
  </si>
  <si>
    <t>Lời đọc cho người thử (đọc nguyên văn)</t>
  </si>
  <si>
    <t>Bắt đầu bấm giờ</t>
  </si>
  <si>
    <t>Dừng bấm giờ</t>
  </si>
  <si>
    <t>Chỉ tiêu</t>
  </si>
  <si>
    <t>Tính là "Tự làm được" khi</t>
  </si>
  <si>
    <t>Để ý thêm</t>
  </si>
  <si>
    <t>Giây</t>
  </si>
  <si>
    <t>Kết quả</t>
  </si>
  <si>
    <t>Ghi chú tại chỗ</t>
  </si>
  <si>
    <t>HS1</t>
  </si>
  <si>
    <t>Tự luyện một bài</t>
  </si>
  <si>
    <t>Em muốn tự luyện 10 câu, bài «…» (đọc tên Bài 1 đã chuẩn bị). Em làm cho đến khi câu hỏi đầu tiên hiện ra thì dừng.</t>
  </si>
  <si>
    <t>Người quan sát nói "Bắt đầu" khi học sinh đang ở trang chủ.</t>
  </si>
  <si>
    <t>Câu hỏi số 1 hiện trên màn hình.</t>
  </si>
  <si>
    <t>≤ 30 giây</t>
  </si>
  <si>
    <t>Câu 1 hiện ra, đúng Bài được yêu cầu, không ai gợi ý.</t>
  </si>
  <si>
    <t>□ Tìm thấy lối vào tự luyện ngay?
□ Tìm được Bài trong danh sách (cuộn, gõ tìm)?
□ Có đổi nhầm môn / khối / số câu?
□ Có đọc dòng "Có đủ câu phù hợp"?</t>
  </si>
  <si>
    <t>HS2</t>
  </si>
  <si>
    <t>Làm bài được giao và nộp bài</t>
  </si>
  <si>
    <t>Cô giáo vừa giao cho lớp một bài. Em tìm bài đó, làm hết, trong lúc làm hãy đánh dấu một câu em chưa chắc, rồi nộp bài.</t>
  </si>
  <si>
    <t>Khi học sinh ở trang chủ, nói "Bắt đầu".</t>
  </si>
  <si>
    <t>Màn hình kết quả hiện ra sau khi nộp.</t>
  </si>
  <si>
    <t>—</t>
  </si>
  <si>
    <t>Mở đúng bài giao, có đánh dấu 1 câu chưa chắc, nộp được bài.</t>
  </si>
  <si>
    <t>□ Thấy bài giao ngay trên trang chủ?
□ Hiểu các ký hiệu ○ ✓ ? ★ trên bản đồ câu?
□ Biết cách đánh dấu "chưa chắc"?
□ Hộp hỏi lại khi nộp có làm em bối rối?
□ Ghi thời gian riêng cho đoạn "tìm và mở bài".</t>
  </si>
  <si>
    <t>HS3</t>
  </si>
  <si>
    <t>Xem kết quả, luyện lại câu sai</t>
  </si>
  <si>
    <t>Em xem mình sai những câu nào, rồi làm lại đúng những câu đó.</t>
  </si>
  <si>
    <t>Khi màn hình kết quả đang hiện, nói "Bắt đầu".</t>
  </si>
  <si>
    <t>Câu đầu tiên của lượt luyện lại hiện ra.</t>
  </si>
  <si>
    <t>Chỉ ra được câu sai và mở được lượt luyện lại.</t>
  </si>
  <si>
    <t>□ Đọc được câu nào đúng / sai?
□ Thấy nút luyện lại mà không cần tìm?
□ Có xem lời giải không?</t>
  </si>
  <si>
    <t>HS4</t>
  </si>
  <si>
    <t>Tìm phần mình còn yếu</t>
  </si>
  <si>
    <t>Theo phần mềm, em đang cần củng cố nội dung nào? Em chỉ cho thầy/cô xem.</t>
  </si>
  <si>
    <t>Học sinh chỉ đúng chỗ ghi nội dung cần củng cố (hoặc dòng "Chưa đủ dữ liệu").</t>
  </si>
  <si>
    <t>Chỉ đúng mục "Nội dung nên củng cố" hoặc Hồ sơ học tập.</t>
  </si>
  <si>
    <t>□ Tìm ở trang chủ hay vào Hồ sơ?
□ Hiểu chữ "Chưa đủ dữ liệu" nghĩa là gì?
□ Em có tin nhận xét đó không?</t>
  </si>
  <si>
    <t>Hỏi sau khi làm xong (ghi lời nói nguyên văn vào cột "Chỗ vướng / lời nói" của Bảng bấm giờ hoặc mặt sau tờ này)</t>
  </si>
  <si>
    <t>•</t>
  </si>
  <si>
    <t>Lúc nào em phải dừng lại nghĩ lâu nhất?</t>
  </si>
  <si>
    <t>Có chữ hay nút nào em không hiểu?</t>
  </si>
  <si>
    <t>Nếu được đổi một thứ, em muốn đổi gì?</t>
  </si>
  <si>
    <t>Em chấm mức dễ dùng từ 1 (rất khó) đến 5 (rất dễ)?</t>
  </si>
  <si>
    <t>Dòng nền xanh là nhiệm vụ có chỉ tiêu. Cột Giây / Kết quả / Ghi chú để ghi tay khi in; sau đó chép vào sheet "Bảng bấm giờ".</t>
  </si>
  <si>
    <t>KỊCH BẢN — GIÁO VIÊN (khoảng 25–30 phút)</t>
  </si>
  <si>
    <t>Trước khi bắt đầu: giáo viên đã đăng nhập, đang ở trang chủ. Đưa sẵn tệp Word 5 câu trên máy. Nói câu mở đầu ở sheet Hướng dẫn (bước 3).</t>
  </si>
  <si>
    <t>GV1</t>
  </si>
  <si>
    <t>Giao bài cho lớp</t>
  </si>
  <si>
    <t>Thầy/cô giao cho lớp «…» (tên lớp thử) một bài luyện 10 câu, bài «…» (đọc tên Bài 1), hạn nộp là «thứ …» tuần này. Đặt tên bài bắt đầu bằng chữ THỬ.</t>
  </si>
  <si>
    <t>Người quan sát nói "Bắt đầu" khi giáo viên đang ở trang chủ.</t>
  </si>
  <si>
    <t>Màn hình hiện dòng "✓ Đã giao…".</t>
  </si>
  <si>
    <t>≤ 120 giây</t>
  </si>
  <si>
    <t>Bài được giao đúng lớp, đúng Bài, có hạn nộp, không ai gợi ý.</t>
  </si>
  <si>
    <t>□ Tìm thấy chỗ tạo bài giao ngay?
□ Đi đúng thứ tự 3 phần Nội dung → Giao cho ai → Thời gian?
□ Có mở phần "Nâng cao" không, vì sao?
□ Có đọc dòng "N học sinh sẽ nhận bài"?
□ Gặp báo thiếu câu thì xử lý thế nào?</t>
  </si>
  <si>
    <t>GV2</t>
  </si>
  <si>
    <t>Nhập câu từ Word và gửi duyệt</t>
  </si>
  <si>
    <t>Trên máy có tệp Word 5 câu hỏi. Thầy/cô đưa 5 câu đó vào ngân hàng câu hỏi và gửi cho tổ trưởng duyệt.</t>
  </si>
  <si>
    <t>Khi giáo viên ở trang chủ, nói "Bắt đầu".</t>
  </si>
  <si>
    <t>Màn hình báo đã gửi đi duyệt.</t>
  </si>
  <si>
    <t>Chọn đúng môn, khối; lưu được 5 câu; gửi duyệt được.</t>
  </si>
  <si>
    <t>□ Có nhìn thanh 5 bước ở đầu trang?
□ Hiểu dòng mã mẫu của môn?
□ Gặp câu báo lỗi / cần xem thì làm gì?
□ Sau khi lưu, có biết câu còn là "nháp", chưa giao được?
□ Tự tìm thấy nút gửi duyệt?</t>
  </si>
  <si>
    <t>GV3</t>
  </si>
  <si>
    <t>Tìm học sinh chưa làm bài / cần giúp</t>
  </si>
  <si>
    <t>Trong lớp «…», em nào chưa làm bài được giao? Em nào đang cần thầy/cô giúp nhất? Thầy/cô chỉ trên màn hình.</t>
  </si>
  <si>
    <t>Giáo viên chỉ đúng tên ít nhất một học sinh cho mỗi câu hỏi.</t>
  </si>
  <si>
    <t>Chỉ ra được học sinh chưa làm và học sinh cần giúp.</t>
  </si>
  <si>
    <t>□ Dùng thẻ "Hôm nay cần chú ý" hay vào Tiến độ lớp?
□ Hiểu các con số trên thẻ?
□ Có bấm lọc không?</t>
  </si>
  <si>
    <t>GV4</t>
  </si>
  <si>
    <t>Viết mã cho một câu hỏi</t>
  </si>
  <si>
    <t>Đây là một câu hỏi và bảng Chương trình của môn. Thầy/cô viết dòng mã đặt ở đầu câu này (viết ra giấy).</t>
  </si>
  <si>
    <t>Khi đưa giấy cho giáo viên.</t>
  </si>
  <si>
    <t>Giáo viên viết xong dòng mã.</t>
  </si>
  <si>
    <t>Mã đúng 6 phần, đúng chữ môn / phân môn, đúng số Chủ đề và số YCCĐ.</t>
  </si>
  <si>
    <t>□ Nhầm phần nào trong 6 phần?
□ Tra số Chủ đề / YCCĐ ở đâu?
□ Có biết mức NB / TH / VD / VDC và dạng TN / ĐS / TLN?</t>
  </si>
  <si>
    <t>Bước nào thầy/cô phải dừng lại nghĩ lâu nhất?</t>
  </si>
  <si>
    <t>Có chữ hay nút nào khó hiểu?</t>
  </si>
  <si>
    <t>So với cách thầy/cô đang giao bài, soạn câu hiện nay thì nhanh hơn hay chậm hơn? Vì sao?</t>
  </si>
  <si>
    <t>Nếu được đổi một thứ, thầy/cô muốn đổi gì?</t>
  </si>
  <si>
    <t>Chấm mức dễ dùng từ 1 (rất khó) đến 5 (rất dễ)?</t>
  </si>
  <si>
    <t>KỊCH BẢN — TỔ TRƯỞNG (khoảng 20 phút)</t>
  </si>
  <si>
    <t>Trước khi bắt đầu: tổ trưởng đã đăng nhập, đang ở trang chủ; hàng chờ duyệt có 12 câu đã chuẩn bị. Nói câu mở đầu ở sheet Hướng dẫn (bước 3).</t>
  </si>
  <si>
    <t>TT1</t>
  </si>
  <si>
    <t>Duyệt 10 câu</t>
  </si>
  <si>
    <t>Giáo viên trong tổ vừa gửi một số câu chờ duyệt. Thầy/cô đọc như lúc duyệt thật và duyệt 10 câu.</t>
  </si>
  <si>
    <t>Khi danh sách câu chờ duyệt hiện ra, nói "Bắt đầu".</t>
  </si>
  <si>
    <t>Câu thứ 10 được duyệt xong.</t>
  </si>
  <si>
    <t>≤ 15 giây mỗi câu (150 giây cho 10 câu)</t>
  </si>
  <si>
    <t>Duyệt đủ 10 câu, không ai gợi ý. Ghi tổng số giây và Số câu = 10.</t>
  </si>
  <si>
    <t>□ Tìm thấy hàng chờ duyệt ngay?
□ Đọc nội dung, đáp án ở đâu?
□ Có dùng phím tắt / công cụ duyệt nhanh?
□ Sau mỗi câu có phải bấm thêm gì thừa?</t>
  </si>
  <si>
    <t>TT2</t>
  </si>
  <si>
    <t>Trả sửa một câu kèm lý do</t>
  </si>
  <si>
    <t>Trong các câu chờ duyệt có một câu sai đáp án. Thầy/cô trả câu đó về cho giáo viên sửa, ghi rõ lý do.</t>
  </si>
  <si>
    <t>Khi tổ trưởng mở đúng câu sai, nói "Bắt đầu".</t>
  </si>
  <si>
    <t>Câu rời khỏi hàng chờ duyệt.</t>
  </si>
  <si>
    <t>Trả sửa được, có chọn hoặc ghi lý do.</t>
  </si>
  <si>
    <t>□ Tìm thấy nút trả sửa?
□ Chọn lý do có sẵn hay tự gõ?
□ Có chắc giáo viên sẽ nhận được không?</t>
  </si>
  <si>
    <t>TT3</t>
  </si>
  <si>
    <t>Tìm chỗ nạp chương trình, tải file mẫu</t>
  </si>
  <si>
    <t>Tổ cần đưa chương trình (Chủ đề, YCCĐ, Bài) của môn mình vào hệ thống. Thầy/cô tìm chỗ làm việc đó, tải file mẫu về, rồi nói lại các bước sẽ làm.</t>
  </si>
  <si>
    <t>Khi tổ trưởng ở trang chủ, nói "Bắt đầu".</t>
  </si>
  <si>
    <t>Tải được file mẫu và nói được các bước chính.</t>
  </si>
  <si>
    <t>Tìm đúng trang Chương trình môn học, tải được file mẫu, nêu được: điền → tải lên → BGH công bố.</t>
  </si>
  <si>
    <t>□ Tìm ở mục nào của menu trước?
□ Có mở sheet "Ví dụ", "Dùng AI" của file mẫu?
□ Hiểu "bản nháp" và "công bố"?
□ Biết ai là người công bố?</t>
  </si>
  <si>
    <t>Duyệt một câu, thầy/cô cần nhìn những gì? Màn hình đã đưa đủ chưa?</t>
  </si>
  <si>
    <t>BẢNG BẤM GIỜ — mỗi nhiệm vụ của mỗi người thử ghi một dòng</t>
  </si>
  <si>
    <t>Điền ô nền VÀNG. Cột Vai trò, Giây mỗi đơn vị, Chỉ tiêu, Đạt chỉ tiêu? tự tính. Thời gian ghi bằng giây. Không ghi tên thật: dùng mã HS01, GV01, TT01.</t>
  </si>
  <si>
    <t>Ngày</t>
  </si>
  <si>
    <t>Mã người thử</t>
  </si>
  <si>
    <t>Vai trò</t>
  </si>
  <si>
    <t>Mã nhiệm vụ</t>
  </si>
  <si>
    <t>Thiết bị</t>
  </si>
  <si>
    <t>Thời gian (giây)</t>
  </si>
  <si>
    <t>Số câu (chỉ TT1)</t>
  </si>
  <si>
    <t>Số lần đi nhầm</t>
  </si>
  <si>
    <t>Mức dễ (1–5)</t>
  </si>
  <si>
    <t>Chỗ vướng / lời nói nguyên văn</t>
  </si>
  <si>
    <t>Giây mỗi đơn vị</t>
  </si>
  <si>
    <t>Chỉ tiêu (giây)</t>
  </si>
  <si>
    <t>Đạt chỉ tiêu?</t>
  </si>
  <si>
    <t>VÍ DỤ</t>
  </si>
  <si>
    <t>TT01</t>
  </si>
  <si>
    <t>Máy tính</t>
  </si>
  <si>
    <t>Tự làm được</t>
  </si>
  <si>
    <t>"Duyệt xong phải bấm thêm một lần mới sang câu sau." Dừng lâu ở câu có hình.</t>
  </si>
  <si>
    <t>TỔNG HỢP — tự tính từ sheet "Bảng bấm giờ"</t>
  </si>
  <si>
    <t>Không sửa ô trắng. Ô vàng: ngưỡng tự làm được (D3), chỉ tiêu (cột D), phần ghi tay ở cuối. Thời gian TT1 tính cho MỖI CÂU.</t>
  </si>
  <si>
    <t>Ngưỡng tỉ lệ tự làm được để coi là đạt (giả định của người soạn, sửa được):</t>
  </si>
  <si>
    <t>Lượt thử</t>
  </si>
  <si>
    <t>Cần trợ giúp</t>
  </si>
  <si>
    <t>Không xong</t>
  </si>
  <si>
    <t>% tự làm được</t>
  </si>
  <si>
    <t>Lượt có ghi giờ</t>
  </si>
  <si>
    <t>Trung vị (giây)</t>
  </si>
  <si>
    <t>Nhanh nhất</t>
  </si>
  <si>
    <t>Chậm nhất</t>
  </si>
  <si>
    <t>Lượt đạt chỉ tiêu</t>
  </si>
  <si>
    <t>% đạt chỉ tiêu</t>
  </si>
  <si>
    <t>Mức dễ TB (1–5)</t>
  </si>
  <si>
    <t>Kết luận</t>
  </si>
  <si>
    <t>Học sinh</t>
  </si>
  <si>
    <t>Tự luyện một bài — CHỈ TIÊU 1</t>
  </si>
  <si>
    <t>Giao bài cho lớp — CHỈ TIÊU 2</t>
  </si>
  <si>
    <t>Duyệt 10 câu — CHỈ TIÊU 3 (tính cho mỗi câu)</t>
  </si>
  <si>
    <t>Cách đọc</t>
  </si>
  <si>
    <t>Chỉ tiêu (cột D) do anh Hiếu chốt ngày 25/09/2026: tự luyện 30 giây, giao bài 120 giây, duyệt 15 giây mỗi câu. Nhiệm vụ không có chỉ tiêu chỉ xét tỉ lệ tự làm được.</t>
  </si>
  <si>
    <t>ĐẠT = trung vị không vượt chỉ tiêu VÀ tỉ lệ tự làm được từ ngưỡng ở ô D3 trở lên. Trung vị ít bị một người quá chậm kéo lệch hơn trung bình.</t>
  </si>
  <si>
    <t>Mỗi nhiệm vụ nên có từ 3 lượt thử trở lên rồi mới tin kết luận (tổ trưởng: tất cả 1–2 người).</t>
  </si>
  <si>
    <t>Việc làm tiếp theo</t>
  </si>
  <si>
    <t>Nếu CHƯA ĐẠT / Cần sửa thì làm trước</t>
  </si>
  <si>
    <t>Bản đồ bài học cho học sinh + nút "Luyện ngay" một chạm theo Bài (đã có đề xuất P0–P1, 03/10/2026).</t>
  </si>
  <si>
    <t>Giao bài từng bước (wizard) hoặc mẫu giao nhanh "10 câu · bài vừa dạy · hạn cuối tuần".</t>
  </si>
  <si>
    <t>Cải tiến màn duyệt: bật sẵn công cụ duyệt nhanh, gom câu "sạch" duyệt một lần.</t>
  </si>
  <si>
    <t>Sửa nhãn / ký hiệu trong lúc làm bài và hộp nộp bài theo chỗ học sinh vướng.</t>
  </si>
  <si>
    <t>Sửa các bước nhập → lưu kho → gửi duyệt theo chỗ giáo viên vướng.</t>
  </si>
  <si>
    <t>Thêm công cụ tra / tự dựng mã câu ở màn Nhập (chọn Bài → ra mã).</t>
  </si>
  <si>
    <t>Sửa tên menu / hướng dẫn trang Chương trình môn học.</t>
  </si>
  <si>
    <t>5 chỗ vướng gặp nhiều nhất (ghi tay sau khi đọc lại cột "Chỗ vướng / lời nói")</t>
  </si>
  <si>
    <t>Số người gặp</t>
  </si>
  <si>
    <t>Chỗ vướng — ở màn nào, người thử nói gì</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</si>
</sst>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5" formatCode="dd/mm/yyyy"/>
    <numFmt numFmtId="166" formatCode="0.0"/>
  </numFmts>
  <fonts count="7">
    <font>
      <sz val="11"/>
      <color theme="1"/>
      <name val="Calibri"/>
      <family val="2"/>
      <scheme val="minor"/>
    </font>
    <font>
      <b/>
      <sz val="15"/>
      <name val="Arial"/>
    </font>
    <font>
      <i/>
      <sz val="10"/>
      <color rgb="FF5E5B52"/>
      <name val="Arial"/>
    </font>
    <font>
      <sz val="11"/>
      <name val="Arial"/>
    </font>
    <font>
      <b/>
      <sz val="12"/>
      <color rgb="FF1E5A7A"/>
      <name val="Arial"/>
    </font>
    <font>
      <b/>
      <sz val="11"/>
      <name val="Arial"/>
    </font>
    <font>
      <i/>
      <sz val="10"/>
      <color rgb="FF7F7F7F"/>
      <name val="Arial"/>
    </font>
  </fonts>
  <fills count="6">
    <fill>
      <patternFill patternType="none"/>
    </fill>
    <fill>
      <patternFill patternType="gray125"/>
    </fill>
    <fill>
      <patternFill patternType="solid">
        <fgColor rgb="FFD9E2F3"/>
      </patternFill>
    </fill>
    <fill>
      <patternFill patternType="solid">
        <fgColor rgb="FFFFF2CC"/>
      </patternFill>
    </fill>
    <fill>
      <patternFill patternType="solid">
        <fgColor rgb="FFE2EFDA"/>
      </patternFill>
    </fill>
    <fill>
      <patternFill patternType="solid">
        <fgColor rgb="FFEDEDED"/>
      </patternFill>
    </fill>
  </fills>
  <borders count="4">
    <border>
      <left/>
      <right/>
      <top/>
      <bottom/>
      <diagonal/>
    </border>
    <border>
      <left style="thin">
        <color rgb="FFA6A6A6"/>
      </left>
      <right style="thin">
        <color rgb="FFA6A6A6"/>
      </right>
      <top style="thin">
        <color rgb="FFA6A6A6"/>
      </top>
      <bottom style="thin">
        <color rgb="FFA6A6A6"/>
      </bottom>
      <diagonal/>
    </border>
    <border>
      <left/>
      <right/>
      <top style="thin">
        <color rgb="FFA6A6A6"/>
      </top>
      <bottom style="thin">
        <color rgb="FFA6A6A6"/>
      </bottom>
      <diagonal/>
    </border>
    <border>
      <left/>
      <right style="thin">
        <color rgb="FFA6A6A6"/>
      </right>
      <top style="thin">
        <color rgb="FFA6A6A6"/>
      </top>
      <bottom style="thin">
        <color rgb="FFA6A6A6"/>
      </bottom>
      <diagonal/>
    </border>
  </borders>
  <cellStyleXfs count="1">
    <xf numFmtId="0" fontId="0" fillId="0" borderId="0"/>
  </cellStyleXfs>
  <cellXfs count="35">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4" fillId="0" borderId="0" xfId="0" applyFont="1" applyAlignment="1">
      <alignment vertical="top" wrapText="1"/>
    </xf>
    <xf numFmtId="0" fontId="1" fillId="0" borderId="0" xfId="0" applyFont="1" applyAlignment="1">
      <alignment vertical="top"/>
    </xf>
    <xf numFmtId="0" fontId="2" fillId="0" borderId="0" xfId="0" applyFont="1" applyAlignment="1">
      <alignment vertical="top"/>
    </xf>
    <xf numFmtId="0" fontId="5" fillId="2" borderId="1" xfId="0" applyFont="1" applyFill="1" applyBorder="1" applyAlignment="1">
      <alignment horizontal="center" vertical="top" wrapText="1"/>
    </xf>
    <xf numFmtId="0" fontId="3" fillId="0" borderId="1" xfId="0" applyFont="1" applyBorder="1" applyAlignment="1">
      <alignment horizontal="center" vertical="top" wrapText="1"/>
    </xf>
    <xf numFmtId="0" fontId="3" fillId="0" borderId="1" xfId="0" applyFont="1" applyBorder="1" applyAlignment="1">
      <alignment vertical="top" wrapText="1"/>
    </xf>
    <xf numFmtId="0" fontId="3" fillId="3" borderId="1" xfId="0" applyFont="1" applyFill="1" applyBorder="1" applyAlignment="1">
      <alignment horizontal="center" vertical="top" wrapText="1"/>
    </xf>
    <xf numFmtId="0" fontId="3" fillId="3" borderId="1" xfId="0" applyFont="1" applyFill="1" applyBorder="1" applyAlignment="1">
      <alignment vertical="top" wrapText="1"/>
    </xf>
    <xf numFmtId="0" fontId="3" fillId="0" borderId="0" xfId="0" applyFont="1" applyAlignment="1">
      <alignment vertical="top"/>
    </xf>
    <xf numFmtId="0" fontId="5" fillId="4" borderId="1" xfId="0" applyFont="1" applyFill="1" applyBorder="1" applyAlignment="1">
      <alignment horizontal="center" vertical="top" wrapText="1"/>
    </xf>
    <xf numFmtId="0" fontId="3" fillId="4" borderId="1" xfId="0" applyFont="1" applyFill="1" applyBorder="1" applyAlignment="1">
      <alignment vertical="top" wrapText="1"/>
    </xf>
    <xf numFmtId="0" fontId="5" fillId="0" borderId="1" xfId="0" applyFont="1" applyBorder="1" applyAlignment="1">
      <alignment horizontal="center" vertical="top" wrapText="1"/>
    </xf>
    <xf numFmtId="0" fontId="4" fillId="0" borderId="0" xfId="0" applyFont="1" applyAlignment="1">
      <alignment vertical="top"/>
    </xf>
    <xf numFmtId="0" fontId="3" fillId="0" borderId="0" xfId="0" applyFont="1" applyAlignment="1">
      <alignment horizontal="center" vertical="top" wrapText="1"/>
    </xf>
    <xf numFmtId="0" fontId="6" fillId="5" borderId="1" xfId="0" applyFont="1" applyFill="1" applyBorder="1" applyAlignment="1">
      <alignment horizontal="center" vertical="top" wrapText="1"/>
    </xf>
    <xf numFmtId="165" fontId="6" fillId="5" borderId="1" xfId="0" applyNumberFormat="1" applyFont="1" applyFill="1" applyBorder="1" applyAlignment="1">
      <alignment horizontal="center" vertical="top" wrapText="1"/>
    </xf>
    <xf numFmtId="0" fontId="6" fillId="5" borderId="1" xfId="0" applyFont="1" applyFill="1" applyBorder="1" applyAlignment="1">
      <alignment vertical="top" wrapText="1"/>
    </xf>
    <xf numFmtId="166" fontId="6" fillId="5" borderId="1" xfId="0" applyNumberFormat="1" applyFont="1" applyFill="1" applyBorder="1" applyAlignment="1">
      <alignment horizontal="center" vertical="top" wrapText="1"/>
    </xf>
    <xf numFmtId="165" fontId="3" fillId="3" borderId="1" xfId="0" applyNumberFormat="1" applyFont="1" applyFill="1" applyBorder="1" applyAlignment="1">
      <alignment horizontal="center" vertical="top" wrapText="1"/>
    </xf>
    <xf numFmtId="166" fontId="3" fillId="0" borderId="1" xfId="0" applyNumberFormat="1" applyFont="1" applyBorder="1" applyAlignment="1">
      <alignment horizontal="center" vertical="top" wrapText="1"/>
    </xf>
    <xf numFmtId="0" fontId="5" fillId="0" borderId="0" xfId="0" applyFont="1" applyAlignment="1">
      <alignment horizontal="right" vertical="top" wrapText="1"/>
    </xf>
    <xf numFmtId="9" fontId="5" fillId="3" borderId="1" xfId="0" applyNumberFormat="1" applyFont="1" applyFill="1" applyBorder="1" applyAlignment="1">
      <alignment horizontal="center" vertical="top" wrapText="1"/>
    </xf>
    <xf numFmtId="0" fontId="3" fillId="4" borderId="1" xfId="0" applyFont="1" applyFill="1" applyBorder="1" applyAlignment="1">
      <alignment horizontal="center" vertical="top" wrapText="1"/>
    </xf>
    <xf numFmtId="9" fontId="3" fillId="0" borderId="1" xfId="0" applyNumberFormat="1" applyFont="1" applyBorder="1" applyAlignment="1">
      <alignment horizontal="center" vertical="top" wrapText="1"/>
    </xf>
    <xf numFmtId="0" fontId="3" fillId="0" borderId="0" xfId="0" applyFont="1" applyAlignment="1">
      <alignment vertical="top" wrapText="1"/>
    </xf>
    <xf numFmtId="0" fontId="0" fillId="0" borderId="0" xfId="0"/>
    <xf numFmtId="0" fontId="3" fillId="0" borderId="1" xfId="0" applyFont="1" applyBorder="1" applyAlignment="1">
      <alignment vertical="top" wrapText="1"/>
    </xf>
    <xf numFmtId="0" fontId="0" fillId="0" borderId="2" xfId="0" applyBorder="1"/>
    <xf numFmtId="0" fontId="0" fillId="0" borderId="3" xfId="0" applyBorder="1"/>
    <xf numFmtId="0" fontId="3" fillId="3" borderId="1" xfId="0" applyFont="1" applyFill="1" applyBorder="1" applyAlignment="1">
      <alignment vertical="top" wrapText="1"/>
    </xf>
    <xf numFmtId="0" fontId="5" fillId="2" borderId="1" xfId="0" applyFont="1" applyFill="1" applyBorder="1" applyAlignment="1">
      <alignment vertical="top" wrapText="1"/>
    </xf>
  </cellXfs>
  <cellStyles count="1">
    <cellStyle name="Bình thường" xfId="0" builtinId="0"/>
  </cellStyles>
  <dxfs count="8">
    <dxf>
      <font>
        <b/>
        <color rgb="FFA5281B"/>
        <name val="Arial"/>
      </font>
    </dxf>
    <dxf>
      <font>
        <b/>
        <color rgb="FFA5281B"/>
        <name val="Arial"/>
      </font>
    </dxf>
    <dxf>
      <font>
        <b/>
        <color rgb="FF256D43"/>
        <name val="Arial"/>
      </font>
    </dxf>
    <dxf>
      <font>
        <b/>
        <color rgb="FF256D43"/>
        <name val="Arial"/>
      </font>
    </dxf>
    <dxf>
      <font>
        <b/>
        <color rgb="FFA5281B"/>
        <name val="Arial"/>
      </font>
    </dxf>
    <dxf>
      <font>
        <b/>
        <color rgb="FFA5281B"/>
        <name val="Arial"/>
      </font>
    </dxf>
    <dxf>
      <font>
        <b/>
        <color rgb="FFA5281B"/>
        <name val="Arial"/>
      </font>
    </dxf>
    <dxf>
      <font>
        <b/>
        <color rgb="FF256D43"/>
        <name val="Arial"/>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46"/>
  <sheetViews>
    <sheetView tabSelected="1" workbookViewId="0"/>
  </sheetViews>
  <sheetFormatPr defaultRowHeight="14.4"/>
  <cols>
    <col min="1" max="1" width="120" customWidth="1"/>
  </cols>
  <sheetData>
    <row r="1" spans="1:1" ht="19.2">
      <c r="A1" s="1" t="s">
        <v>0</v>
      </c>
    </row>
    <row r="2" spans="1:1" ht="26.4">
      <c r="A2" s="2" t="s">
        <v>1</v>
      </c>
    </row>
    <row r="3" spans="1:1">
      <c r="A3" s="3"/>
    </row>
    <row r="4" spans="1:1" ht="15.6">
      <c r="A4" s="4" t="s">
        <v>2</v>
      </c>
    </row>
    <row r="5" spans="1:1" ht="27.6">
      <c r="A5" s="3" t="s">
        <v>3</v>
      </c>
    </row>
    <row r="6" spans="1:1">
      <c r="A6" s="3"/>
    </row>
    <row r="7" spans="1:1" ht="15.6">
      <c r="A7" s="4" t="s">
        <v>4</v>
      </c>
    </row>
    <row r="8" spans="1:1">
      <c r="A8" s="3" t="s">
        <v>5</v>
      </c>
    </row>
    <row r="9" spans="1:1">
      <c r="A9" s="3" t="s">
        <v>6</v>
      </c>
    </row>
    <row r="10" spans="1:1">
      <c r="A10" s="3" t="s">
        <v>7</v>
      </c>
    </row>
    <row r="11" spans="1:1" ht="27.6">
      <c r="A11" s="3" t="s">
        <v>8</v>
      </c>
    </row>
    <row r="12" spans="1:1">
      <c r="A12" s="3"/>
    </row>
    <row r="13" spans="1:1" ht="15.6">
      <c r="A13" s="4" t="s">
        <v>9</v>
      </c>
    </row>
    <row r="14" spans="1:1" ht="27.6">
      <c r="A14" s="3" t="s">
        <v>10</v>
      </c>
    </row>
    <row r="15" spans="1:1">
      <c r="A15" s="3" t="s">
        <v>11</v>
      </c>
    </row>
    <row r="16" spans="1:1">
      <c r="A16" s="3"/>
    </row>
    <row r="17" spans="1:1" ht="15.6">
      <c r="A17" s="4" t="s">
        <v>12</v>
      </c>
    </row>
    <row r="18" spans="1:1">
      <c r="A18" s="3" t="s">
        <v>13</v>
      </c>
    </row>
    <row r="19" spans="1:1">
      <c r="A19" s="3" t="s">
        <v>14</v>
      </c>
    </row>
    <row r="20" spans="1:1" ht="27.6">
      <c r="A20" s="3" t="s">
        <v>15</v>
      </c>
    </row>
    <row r="21" spans="1:1">
      <c r="A21" s="3" t="s">
        <v>16</v>
      </c>
    </row>
    <row r="22" spans="1:1">
      <c r="A22" s="3" t="s">
        <v>17</v>
      </c>
    </row>
    <row r="23" spans="1:1">
      <c r="A23" s="3" t="s">
        <v>18</v>
      </c>
    </row>
    <row r="24" spans="1:1">
      <c r="A24" s="3" t="s">
        <v>19</v>
      </c>
    </row>
    <row r="25" spans="1:1">
      <c r="A25" s="3"/>
    </row>
    <row r="26" spans="1:1" ht="15.6">
      <c r="A26" s="4" t="s">
        <v>20</v>
      </c>
    </row>
    <row r="27" spans="1:1">
      <c r="A27" s="3" t="s">
        <v>21</v>
      </c>
    </row>
    <row r="28" spans="1:1" ht="27.6">
      <c r="A28" s="3" t="s">
        <v>22</v>
      </c>
    </row>
    <row r="29" spans="1:1">
      <c r="A29" s="3" t="s">
        <v>23</v>
      </c>
    </row>
    <row r="30" spans="1:1">
      <c r="A30" s="3" t="s">
        <v>24</v>
      </c>
    </row>
    <row r="31" spans="1:1">
      <c r="A31" s="3"/>
    </row>
    <row r="32" spans="1:1" ht="15.6">
      <c r="A32" s="4" t="s">
        <v>25</v>
      </c>
    </row>
    <row r="33" spans="1:1">
      <c r="A33" s="3" t="s">
        <v>26</v>
      </c>
    </row>
    <row r="34" spans="1:1">
      <c r="A34" s="3" t="s">
        <v>27</v>
      </c>
    </row>
    <row r="35" spans="1:1" ht="27.6">
      <c r="A35" s="3" t="s">
        <v>28</v>
      </c>
    </row>
    <row r="36" spans="1:1">
      <c r="A36" s="3" t="s">
        <v>29</v>
      </c>
    </row>
    <row r="37" spans="1:1">
      <c r="A37" s="3"/>
    </row>
    <row r="38" spans="1:1" ht="15.6">
      <c r="A38" s="4" t="s">
        <v>30</v>
      </c>
    </row>
    <row r="39" spans="1:1">
      <c r="A39" s="3" t="s">
        <v>31</v>
      </c>
    </row>
    <row r="40" spans="1:1">
      <c r="A40" s="3" t="s">
        <v>32</v>
      </c>
    </row>
    <row r="41" spans="1:1">
      <c r="A41" s="3" t="s">
        <v>33</v>
      </c>
    </row>
    <row r="42" spans="1:1">
      <c r="A42" s="3"/>
    </row>
    <row r="43" spans="1:1" ht="15.6">
      <c r="A43" s="4" t="s">
        <v>34</v>
      </c>
    </row>
    <row r="44" spans="1:1">
      <c r="A44" s="3" t="s">
        <v>35</v>
      </c>
    </row>
    <row r="45" spans="1:1">
      <c r="A45" s="3" t="s">
        <v>36</v>
      </c>
    </row>
    <row r="46" spans="1:1">
      <c r="A46" s="3" t="s">
        <v>37</v>
      </c>
    </row>
  </sheetData>
  <pageMargins left="0.4" right="0.4" top="0.5" bottom="0.5" header="0.5" footer="0.5"/>
  <pageSetup paperSize="9" fitToHeight="0"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E14"/>
  <sheetViews>
    <sheetView workbookViewId="0">
      <pane ySplit="3" topLeftCell="A4" activePane="bottomLeft" state="frozen"/>
      <selection pane="bottomLeft"/>
    </sheetView>
  </sheetViews>
  <sheetFormatPr defaultRowHeight="14.4"/>
  <cols>
    <col min="1" max="1" width="5" customWidth="1"/>
    <col min="2" max="2" width="62" customWidth="1"/>
    <col min="3" max="3" width="18" customWidth="1"/>
    <col min="4" max="4" width="12" customWidth="1"/>
    <col min="5" max="5" width="48" customWidth="1"/>
  </cols>
  <sheetData>
    <row r="1" spans="1:5" ht="19.2">
      <c r="A1" s="5" t="s">
        <v>38</v>
      </c>
    </row>
    <row r="2" spans="1:5">
      <c r="A2" s="6" t="s">
        <v>39</v>
      </c>
    </row>
    <row r="3" spans="1:5">
      <c r="A3" s="7" t="s">
        <v>40</v>
      </c>
      <c r="B3" s="7" t="s">
        <v>41</v>
      </c>
      <c r="C3" s="7" t="s">
        <v>42</v>
      </c>
      <c r="D3" s="7" t="s">
        <v>43</v>
      </c>
      <c r="E3" s="7" t="s">
        <v>44</v>
      </c>
    </row>
    <row r="4" spans="1:5" ht="27.6">
      <c r="A4" s="8">
        <v>1</v>
      </c>
      <c r="B4" s="9" t="s">
        <v>45</v>
      </c>
      <c r="C4" s="9" t="s">
        <v>46</v>
      </c>
      <c r="D4" s="10"/>
      <c r="E4" s="11"/>
    </row>
    <row r="5" spans="1:5" ht="27.6">
      <c r="A5" s="8">
        <v>2</v>
      </c>
      <c r="B5" s="9" t="s">
        <v>47</v>
      </c>
      <c r="C5" s="9" t="s">
        <v>48</v>
      </c>
      <c r="D5" s="10"/>
      <c r="E5" s="11"/>
    </row>
    <row r="6" spans="1:5" ht="27.6">
      <c r="A6" s="8">
        <v>3</v>
      </c>
      <c r="B6" s="9" t="s">
        <v>49</v>
      </c>
      <c r="C6" s="9" t="s">
        <v>48</v>
      </c>
      <c r="D6" s="10"/>
      <c r="E6" s="11"/>
    </row>
    <row r="7" spans="1:5" ht="41.4">
      <c r="A7" s="8">
        <v>4</v>
      </c>
      <c r="B7" s="9" t="s">
        <v>50</v>
      </c>
      <c r="C7" s="9" t="s">
        <v>51</v>
      </c>
      <c r="D7" s="10"/>
      <c r="E7" s="11"/>
    </row>
    <row r="8" spans="1:5" ht="27.6">
      <c r="A8" s="8">
        <v>5</v>
      </c>
      <c r="B8" s="9" t="s">
        <v>52</v>
      </c>
      <c r="C8" s="9" t="s">
        <v>53</v>
      </c>
      <c r="D8" s="10"/>
      <c r="E8" s="11"/>
    </row>
    <row r="9" spans="1:5" ht="41.4">
      <c r="A9" s="8">
        <v>6</v>
      </c>
      <c r="B9" s="9" t="s">
        <v>54</v>
      </c>
      <c r="C9" s="9" t="s">
        <v>53</v>
      </c>
      <c r="D9" s="10"/>
      <c r="E9" s="11"/>
    </row>
    <row r="10" spans="1:5" ht="41.4">
      <c r="A10" s="8">
        <v>7</v>
      </c>
      <c r="B10" s="9" t="s">
        <v>55</v>
      </c>
      <c r="C10" s="9" t="s">
        <v>51</v>
      </c>
      <c r="D10" s="10"/>
      <c r="E10" s="11"/>
    </row>
    <row r="11" spans="1:5" ht="27.6">
      <c r="A11" s="8">
        <v>8</v>
      </c>
      <c r="B11" s="9" t="s">
        <v>56</v>
      </c>
      <c r="C11" s="9" t="s">
        <v>51</v>
      </c>
      <c r="D11" s="10"/>
      <c r="E11" s="11"/>
    </row>
    <row r="12" spans="1:5" ht="27.6">
      <c r="A12" s="8">
        <v>9</v>
      </c>
      <c r="B12" s="9" t="s">
        <v>57</v>
      </c>
      <c r="C12" s="9" t="s">
        <v>58</v>
      </c>
      <c r="D12" s="10"/>
      <c r="E12" s="11"/>
    </row>
    <row r="13" spans="1:5" ht="27.6">
      <c r="A13" s="8">
        <v>10</v>
      </c>
      <c r="B13" s="9" t="s">
        <v>59</v>
      </c>
      <c r="C13" s="9" t="s">
        <v>58</v>
      </c>
      <c r="D13" s="10"/>
      <c r="E13" s="11"/>
    </row>
    <row r="14" spans="1:5" ht="41.4">
      <c r="A14" s="8">
        <v>11</v>
      </c>
      <c r="B14" s="9" t="s">
        <v>60</v>
      </c>
      <c r="C14" s="9" t="s">
        <v>48</v>
      </c>
      <c r="D14" s="10"/>
      <c r="E14" s="11"/>
    </row>
  </sheetData>
  <dataValidations count="1">
    <dataValidation type="list" allowBlank="1" sqref="D4 D5 D6 D7 D8 D9 D10 D11 D12 D13 D14" xr:uid="{00000000-0002-0000-0100-000000000000}">
      <formula1>"Xong,Chưa"</formula1>
    </dataValidation>
  </dataValidations>
  <pageMargins left="0.4" right="0.4" top="0.5" bottom="0.5" header="0.5" footer="0.5"/>
  <pageSetup paperSize="9"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K16"/>
  <sheetViews>
    <sheetView workbookViewId="0">
      <pane ySplit="4" topLeftCell="A5" activePane="bottomLeft" state="frozen"/>
      <selection pane="bottomLeft"/>
    </sheetView>
  </sheetViews>
  <sheetFormatPr defaultRowHeight="14.4"/>
  <cols>
    <col min="1" max="1" width="6" customWidth="1"/>
    <col min="2" max="2" width="20" customWidth="1"/>
    <col min="3" max="3" width="44" customWidth="1"/>
    <col min="4" max="5" width="22" customWidth="1"/>
    <col min="6" max="6" width="11" customWidth="1"/>
    <col min="7" max="7" width="26" customWidth="1"/>
    <col min="8" max="8" width="34" customWidth="1"/>
    <col min="9" max="9" width="8" customWidth="1"/>
    <col min="10" max="10" width="12" customWidth="1"/>
    <col min="11" max="11" width="26" customWidth="1"/>
  </cols>
  <sheetData>
    <row r="1" spans="1:11" ht="19.2">
      <c r="A1" s="5" t="s">
        <v>61</v>
      </c>
    </row>
    <row r="2" spans="1:11">
      <c r="A2" s="6" t="s">
        <v>62</v>
      </c>
    </row>
    <row r="3" spans="1:11">
      <c r="A3" s="12" t="s">
        <v>63</v>
      </c>
    </row>
    <row r="4" spans="1:11" ht="27.6">
      <c r="A4" s="7" t="s">
        <v>64</v>
      </c>
      <c r="B4" s="7" t="s">
        <v>65</v>
      </c>
      <c r="C4" s="7" t="s">
        <v>66</v>
      </c>
      <c r="D4" s="7" t="s">
        <v>67</v>
      </c>
      <c r="E4" s="7" t="s">
        <v>68</v>
      </c>
      <c r="F4" s="7" t="s">
        <v>69</v>
      </c>
      <c r="G4" s="7" t="s">
        <v>70</v>
      </c>
      <c r="H4" s="7" t="s">
        <v>71</v>
      </c>
      <c r="I4" s="7" t="s">
        <v>72</v>
      </c>
      <c r="J4" s="7" t="s">
        <v>73</v>
      </c>
      <c r="K4" s="7" t="s">
        <v>74</v>
      </c>
    </row>
    <row r="5" spans="1:11" ht="124.95" customHeight="1">
      <c r="A5" s="13" t="s">
        <v>75</v>
      </c>
      <c r="B5" s="14" t="s">
        <v>76</v>
      </c>
      <c r="C5" s="9" t="s">
        <v>77</v>
      </c>
      <c r="D5" s="9" t="s">
        <v>78</v>
      </c>
      <c r="E5" s="9" t="s">
        <v>79</v>
      </c>
      <c r="F5" s="13" t="s">
        <v>80</v>
      </c>
      <c r="G5" s="9" t="s">
        <v>81</v>
      </c>
      <c r="H5" s="9" t="s">
        <v>82</v>
      </c>
      <c r="I5" s="9"/>
      <c r="J5" s="9"/>
      <c r="K5" s="9"/>
    </row>
    <row r="6" spans="1:11" ht="124.95" customHeight="1">
      <c r="A6" s="15" t="s">
        <v>83</v>
      </c>
      <c r="B6" s="9" t="s">
        <v>84</v>
      </c>
      <c r="C6" s="9" t="s">
        <v>85</v>
      </c>
      <c r="D6" s="9" t="s">
        <v>86</v>
      </c>
      <c r="E6" s="9" t="s">
        <v>87</v>
      </c>
      <c r="F6" s="15" t="s">
        <v>88</v>
      </c>
      <c r="G6" s="9" t="s">
        <v>89</v>
      </c>
      <c r="H6" s="9" t="s">
        <v>90</v>
      </c>
      <c r="I6" s="9"/>
      <c r="J6" s="9"/>
      <c r="K6" s="9"/>
    </row>
    <row r="7" spans="1:11" ht="124.95" customHeight="1">
      <c r="A7" s="15" t="s">
        <v>91</v>
      </c>
      <c r="B7" s="9" t="s">
        <v>92</v>
      </c>
      <c r="C7" s="9" t="s">
        <v>93</v>
      </c>
      <c r="D7" s="9" t="s">
        <v>94</v>
      </c>
      <c r="E7" s="9" t="s">
        <v>95</v>
      </c>
      <c r="F7" s="15" t="s">
        <v>88</v>
      </c>
      <c r="G7" s="9" t="s">
        <v>96</v>
      </c>
      <c r="H7" s="9" t="s">
        <v>97</v>
      </c>
      <c r="I7" s="9"/>
      <c r="J7" s="9"/>
      <c r="K7" s="9"/>
    </row>
    <row r="8" spans="1:11" ht="124.95" customHeight="1">
      <c r="A8" s="15" t="s">
        <v>98</v>
      </c>
      <c r="B8" s="9" t="s">
        <v>99</v>
      </c>
      <c r="C8" s="9" t="s">
        <v>100</v>
      </c>
      <c r="D8" s="9" t="s">
        <v>86</v>
      </c>
      <c r="E8" s="9" t="s">
        <v>101</v>
      </c>
      <c r="F8" s="15" t="s">
        <v>88</v>
      </c>
      <c r="G8" s="9" t="s">
        <v>102</v>
      </c>
      <c r="H8" s="9" t="s">
        <v>103</v>
      </c>
      <c r="I8" s="9"/>
      <c r="J8" s="9"/>
      <c r="K8" s="9"/>
    </row>
    <row r="10" spans="1:11" ht="15.6">
      <c r="A10" s="16" t="s">
        <v>104</v>
      </c>
    </row>
    <row r="11" spans="1:11">
      <c r="A11" s="17" t="s">
        <v>105</v>
      </c>
      <c r="B11" s="12" t="s">
        <v>106</v>
      </c>
    </row>
    <row r="12" spans="1:11">
      <c r="A12" s="17" t="s">
        <v>105</v>
      </c>
      <c r="B12" s="12" t="s">
        <v>107</v>
      </c>
    </row>
    <row r="13" spans="1:11">
      <c r="A13" s="17" t="s">
        <v>105</v>
      </c>
      <c r="B13" s="12" t="s">
        <v>108</v>
      </c>
    </row>
    <row r="14" spans="1:11">
      <c r="A14" s="17" t="s">
        <v>105</v>
      </c>
      <c r="B14" s="12" t="s">
        <v>109</v>
      </c>
    </row>
    <row r="16" spans="1:11">
      <c r="A16" s="6" t="s">
        <v>110</v>
      </c>
    </row>
  </sheetData>
  <pageMargins left="0.4" right="0.4" top="0.5" bottom="0.5" header="0.5" footer="0.5"/>
  <pageSetup paperSize="9" fitToHeight="0"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K17"/>
  <sheetViews>
    <sheetView workbookViewId="0">
      <pane ySplit="4" topLeftCell="A5" activePane="bottomLeft" state="frozen"/>
      <selection pane="bottomLeft"/>
    </sheetView>
  </sheetViews>
  <sheetFormatPr defaultRowHeight="14.4"/>
  <cols>
    <col min="1" max="1" width="6" customWidth="1"/>
    <col min="2" max="2" width="20" customWidth="1"/>
    <col min="3" max="3" width="44" customWidth="1"/>
    <col min="4" max="5" width="22" customWidth="1"/>
    <col min="6" max="6" width="11" customWidth="1"/>
    <col min="7" max="7" width="26" customWidth="1"/>
    <col min="8" max="8" width="34" customWidth="1"/>
    <col min="9" max="9" width="8" customWidth="1"/>
    <col min="10" max="10" width="12" customWidth="1"/>
    <col min="11" max="11" width="26" customWidth="1"/>
  </cols>
  <sheetData>
    <row r="1" spans="1:11" ht="19.2">
      <c r="A1" s="5" t="s">
        <v>111</v>
      </c>
    </row>
    <row r="2" spans="1:11">
      <c r="A2" s="6" t="s">
        <v>112</v>
      </c>
    </row>
    <row r="3" spans="1:11">
      <c r="A3" s="12" t="s">
        <v>63</v>
      </c>
    </row>
    <row r="4" spans="1:11" ht="27.6">
      <c r="A4" s="7" t="s">
        <v>64</v>
      </c>
      <c r="B4" s="7" t="s">
        <v>65</v>
      </c>
      <c r="C4" s="7" t="s">
        <v>66</v>
      </c>
      <c r="D4" s="7" t="s">
        <v>67</v>
      </c>
      <c r="E4" s="7" t="s">
        <v>68</v>
      </c>
      <c r="F4" s="7" t="s">
        <v>69</v>
      </c>
      <c r="G4" s="7" t="s">
        <v>70</v>
      </c>
      <c r="H4" s="7" t="s">
        <v>71</v>
      </c>
      <c r="I4" s="7" t="s">
        <v>72</v>
      </c>
      <c r="J4" s="7" t="s">
        <v>73</v>
      </c>
      <c r="K4" s="7" t="s">
        <v>74</v>
      </c>
    </row>
    <row r="5" spans="1:11" ht="124.95" customHeight="1">
      <c r="A5" s="13" t="s">
        <v>113</v>
      </c>
      <c r="B5" s="14" t="s">
        <v>114</v>
      </c>
      <c r="C5" s="9" t="s">
        <v>115</v>
      </c>
      <c r="D5" s="9" t="s">
        <v>116</v>
      </c>
      <c r="E5" s="9" t="s">
        <v>117</v>
      </c>
      <c r="F5" s="13" t="s">
        <v>118</v>
      </c>
      <c r="G5" s="9" t="s">
        <v>119</v>
      </c>
      <c r="H5" s="9" t="s">
        <v>120</v>
      </c>
      <c r="I5" s="9"/>
      <c r="J5" s="9"/>
      <c r="K5" s="9"/>
    </row>
    <row r="6" spans="1:11" ht="124.95" customHeight="1">
      <c r="A6" s="15" t="s">
        <v>121</v>
      </c>
      <c r="B6" s="9" t="s">
        <v>122</v>
      </c>
      <c r="C6" s="9" t="s">
        <v>123</v>
      </c>
      <c r="D6" s="9" t="s">
        <v>124</v>
      </c>
      <c r="E6" s="9" t="s">
        <v>125</v>
      </c>
      <c r="F6" s="15" t="s">
        <v>88</v>
      </c>
      <c r="G6" s="9" t="s">
        <v>126</v>
      </c>
      <c r="H6" s="9" t="s">
        <v>127</v>
      </c>
      <c r="I6" s="9"/>
      <c r="J6" s="9"/>
      <c r="K6" s="9"/>
    </row>
    <row r="7" spans="1:11" ht="124.95" customHeight="1">
      <c r="A7" s="15" t="s">
        <v>128</v>
      </c>
      <c r="B7" s="9" t="s">
        <v>129</v>
      </c>
      <c r="C7" s="9" t="s">
        <v>130</v>
      </c>
      <c r="D7" s="9" t="s">
        <v>124</v>
      </c>
      <c r="E7" s="9" t="s">
        <v>131</v>
      </c>
      <c r="F7" s="15" t="s">
        <v>88</v>
      </c>
      <c r="G7" s="9" t="s">
        <v>132</v>
      </c>
      <c r="H7" s="9" t="s">
        <v>133</v>
      </c>
      <c r="I7" s="9"/>
      <c r="J7" s="9"/>
      <c r="K7" s="9"/>
    </row>
    <row r="8" spans="1:11" ht="124.95" customHeight="1">
      <c r="A8" s="15" t="s">
        <v>134</v>
      </c>
      <c r="B8" s="9" t="s">
        <v>135</v>
      </c>
      <c r="C8" s="9" t="s">
        <v>136</v>
      </c>
      <c r="D8" s="9" t="s">
        <v>137</v>
      </c>
      <c r="E8" s="9" t="s">
        <v>138</v>
      </c>
      <c r="F8" s="15" t="s">
        <v>88</v>
      </c>
      <c r="G8" s="9" t="s">
        <v>139</v>
      </c>
      <c r="H8" s="9" t="s">
        <v>140</v>
      </c>
      <c r="I8" s="9"/>
      <c r="J8" s="9"/>
      <c r="K8" s="9"/>
    </row>
    <row r="10" spans="1:11" ht="15.6">
      <c r="A10" s="16" t="s">
        <v>104</v>
      </c>
    </row>
    <row r="11" spans="1:11">
      <c r="A11" s="17" t="s">
        <v>105</v>
      </c>
      <c r="B11" s="12" t="s">
        <v>141</v>
      </c>
    </row>
    <row r="12" spans="1:11">
      <c r="A12" s="17" t="s">
        <v>105</v>
      </c>
      <c r="B12" s="12" t="s">
        <v>142</v>
      </c>
    </row>
    <row r="13" spans="1:11">
      <c r="A13" s="17" t="s">
        <v>105</v>
      </c>
      <c r="B13" s="12" t="s">
        <v>143</v>
      </c>
    </row>
    <row r="14" spans="1:11">
      <c r="A14" s="17" t="s">
        <v>105</v>
      </c>
      <c r="B14" s="12" t="s">
        <v>144</v>
      </c>
    </row>
    <row r="15" spans="1:11">
      <c r="A15" s="17" t="s">
        <v>105</v>
      </c>
      <c r="B15" s="12" t="s">
        <v>145</v>
      </c>
    </row>
    <row r="17" spans="1:1">
      <c r="A17" s="6" t="s">
        <v>110</v>
      </c>
    </row>
  </sheetData>
  <pageMargins left="0.4" right="0.4" top="0.5" bottom="0.5" header="0.5" footer="0.5"/>
  <pageSetup paperSize="9" fitToHeight="0"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K16"/>
  <sheetViews>
    <sheetView workbookViewId="0">
      <pane ySplit="4" topLeftCell="A5" activePane="bottomLeft" state="frozen"/>
      <selection pane="bottomLeft"/>
    </sheetView>
  </sheetViews>
  <sheetFormatPr defaultRowHeight="14.4"/>
  <cols>
    <col min="1" max="1" width="6" customWidth="1"/>
    <col min="2" max="2" width="20" customWidth="1"/>
    <col min="3" max="3" width="44" customWidth="1"/>
    <col min="4" max="5" width="22" customWidth="1"/>
    <col min="6" max="6" width="11" customWidth="1"/>
    <col min="7" max="7" width="26" customWidth="1"/>
    <col min="8" max="8" width="34" customWidth="1"/>
    <col min="9" max="9" width="8" customWidth="1"/>
    <col min="10" max="10" width="12" customWidth="1"/>
    <col min="11" max="11" width="26" customWidth="1"/>
  </cols>
  <sheetData>
    <row r="1" spans="1:11" ht="19.2">
      <c r="A1" s="5" t="s">
        <v>146</v>
      </c>
    </row>
    <row r="2" spans="1:11">
      <c r="A2" s="6" t="s">
        <v>147</v>
      </c>
    </row>
    <row r="3" spans="1:11">
      <c r="A3" s="12" t="s">
        <v>63</v>
      </c>
    </row>
    <row r="4" spans="1:11" ht="27.6">
      <c r="A4" s="7" t="s">
        <v>64</v>
      </c>
      <c r="B4" s="7" t="s">
        <v>65</v>
      </c>
      <c r="C4" s="7" t="s">
        <v>66</v>
      </c>
      <c r="D4" s="7" t="s">
        <v>67</v>
      </c>
      <c r="E4" s="7" t="s">
        <v>68</v>
      </c>
      <c r="F4" s="7" t="s">
        <v>69</v>
      </c>
      <c r="G4" s="7" t="s">
        <v>70</v>
      </c>
      <c r="H4" s="7" t="s">
        <v>71</v>
      </c>
      <c r="I4" s="7" t="s">
        <v>72</v>
      </c>
      <c r="J4" s="7" t="s">
        <v>73</v>
      </c>
      <c r="K4" s="7" t="s">
        <v>74</v>
      </c>
    </row>
    <row r="5" spans="1:11" ht="124.95" customHeight="1">
      <c r="A5" s="13" t="s">
        <v>148</v>
      </c>
      <c r="B5" s="14" t="s">
        <v>149</v>
      </c>
      <c r="C5" s="9" t="s">
        <v>150</v>
      </c>
      <c r="D5" s="9" t="s">
        <v>151</v>
      </c>
      <c r="E5" s="9" t="s">
        <v>152</v>
      </c>
      <c r="F5" s="13" t="s">
        <v>153</v>
      </c>
      <c r="G5" s="9" t="s">
        <v>154</v>
      </c>
      <c r="H5" s="9" t="s">
        <v>155</v>
      </c>
      <c r="I5" s="9"/>
      <c r="J5" s="9"/>
      <c r="K5" s="9"/>
    </row>
    <row r="6" spans="1:11" ht="124.95" customHeight="1">
      <c r="A6" s="15" t="s">
        <v>156</v>
      </c>
      <c r="B6" s="9" t="s">
        <v>157</v>
      </c>
      <c r="C6" s="9" t="s">
        <v>158</v>
      </c>
      <c r="D6" s="9" t="s">
        <v>159</v>
      </c>
      <c r="E6" s="9" t="s">
        <v>160</v>
      </c>
      <c r="F6" s="15" t="s">
        <v>88</v>
      </c>
      <c r="G6" s="9" t="s">
        <v>161</v>
      </c>
      <c r="H6" s="9" t="s">
        <v>162</v>
      </c>
      <c r="I6" s="9"/>
      <c r="J6" s="9"/>
      <c r="K6" s="9"/>
    </row>
    <row r="7" spans="1:11" ht="124.95" customHeight="1">
      <c r="A7" s="15" t="s">
        <v>163</v>
      </c>
      <c r="B7" s="9" t="s">
        <v>164</v>
      </c>
      <c r="C7" s="9" t="s">
        <v>165</v>
      </c>
      <c r="D7" s="9" t="s">
        <v>166</v>
      </c>
      <c r="E7" s="9" t="s">
        <v>167</v>
      </c>
      <c r="F7" s="15" t="s">
        <v>88</v>
      </c>
      <c r="G7" s="9" t="s">
        <v>168</v>
      </c>
      <c r="H7" s="9" t="s">
        <v>169</v>
      </c>
      <c r="I7" s="9"/>
      <c r="J7" s="9"/>
      <c r="K7" s="9"/>
    </row>
    <row r="9" spans="1:11" ht="15.6">
      <c r="A9" s="16" t="s">
        <v>104</v>
      </c>
    </row>
    <row r="10" spans="1:11">
      <c r="A10" s="17" t="s">
        <v>105</v>
      </c>
      <c r="B10" s="12" t="s">
        <v>141</v>
      </c>
    </row>
    <row r="11" spans="1:11">
      <c r="A11" s="17" t="s">
        <v>105</v>
      </c>
      <c r="B11" s="12" t="s">
        <v>170</v>
      </c>
    </row>
    <row r="12" spans="1:11">
      <c r="A12" s="17" t="s">
        <v>105</v>
      </c>
      <c r="B12" s="12" t="s">
        <v>142</v>
      </c>
    </row>
    <row r="13" spans="1:11">
      <c r="A13" s="17" t="s">
        <v>105</v>
      </c>
      <c r="B13" s="12" t="s">
        <v>144</v>
      </c>
    </row>
    <row r="14" spans="1:11">
      <c r="A14" s="17" t="s">
        <v>105</v>
      </c>
      <c r="B14" s="12" t="s">
        <v>145</v>
      </c>
    </row>
    <row r="16" spans="1:11">
      <c r="A16" s="6" t="s">
        <v>110</v>
      </c>
    </row>
  </sheetData>
  <pageMargins left="0.4" right="0.4" top="0.5" bottom="0.5" header="0.5" footer="0.5"/>
  <pageSetup paperSize="9" fitToHeight="0"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O105"/>
  <sheetViews>
    <sheetView workbookViewId="0">
      <pane xSplit="3" ySplit="5" topLeftCell="D6" activePane="bottomRight" state="frozen"/>
      <selection pane="topRight"/>
      <selection pane="bottomLeft"/>
      <selection pane="bottomRight"/>
    </sheetView>
  </sheetViews>
  <sheetFormatPr defaultRowHeight="14.4"/>
  <cols>
    <col min="1" max="1" width="8" customWidth="1"/>
    <col min="2" max="2" width="12" customWidth="1"/>
    <col min="3" max="4" width="11" customWidth="1"/>
    <col min="5" max="5" width="10" customWidth="1"/>
    <col min="6" max="6" width="13" customWidth="1"/>
    <col min="7" max="7" width="11" customWidth="1"/>
    <col min="8" max="8" width="10" customWidth="1"/>
    <col min="9" max="9" width="14" customWidth="1"/>
    <col min="10" max="10" width="10" customWidth="1"/>
    <col min="11" max="11" width="9" customWidth="1"/>
    <col min="12" max="12" width="58" customWidth="1"/>
    <col min="13" max="14" width="10" customWidth="1"/>
    <col min="15" max="15" width="11" customWidth="1"/>
  </cols>
  <sheetData>
    <row r="1" spans="1:15" ht="19.2">
      <c r="A1" s="5" t="s">
        <v>171</v>
      </c>
    </row>
    <row r="2" spans="1:15">
      <c r="A2" s="6" t="s">
        <v>172</v>
      </c>
    </row>
    <row r="4" spans="1:15" ht="41.4">
      <c r="A4" s="7" t="s">
        <v>40</v>
      </c>
      <c r="B4" s="7" t="s">
        <v>173</v>
      </c>
      <c r="C4" s="7" t="s">
        <v>174</v>
      </c>
      <c r="D4" s="7" t="s">
        <v>175</v>
      </c>
      <c r="E4" s="7" t="s">
        <v>176</v>
      </c>
      <c r="F4" s="7" t="s">
        <v>177</v>
      </c>
      <c r="G4" s="7" t="s">
        <v>178</v>
      </c>
      <c r="H4" s="7" t="s">
        <v>179</v>
      </c>
      <c r="I4" s="7" t="s">
        <v>73</v>
      </c>
      <c r="J4" s="7" t="s">
        <v>180</v>
      </c>
      <c r="K4" s="7" t="s">
        <v>181</v>
      </c>
      <c r="L4" s="7" t="s">
        <v>182</v>
      </c>
      <c r="M4" s="7" t="s">
        <v>183</v>
      </c>
      <c r="N4" s="7" t="s">
        <v>184</v>
      </c>
      <c r="O4" s="7" t="s">
        <v>185</v>
      </c>
    </row>
    <row r="5" spans="1:15" ht="26.4">
      <c r="A5" s="18" t="s">
        <v>186</v>
      </c>
      <c r="B5" s="19">
        <v>46305</v>
      </c>
      <c r="C5" s="18" t="s">
        <v>187</v>
      </c>
      <c r="D5" s="18" t="str">
        <f>IF(E5="","",IFERROR(INDEX('Tổng hợp'!$B$6:$B$16,MATCH(E5,'Tổng hợp'!$A$6:$A$16,0)),""))</f>
        <v>Tổ trưởng</v>
      </c>
      <c r="E5" s="18" t="s">
        <v>148</v>
      </c>
      <c r="F5" s="18" t="s">
        <v>188</v>
      </c>
      <c r="G5" s="18">
        <v>185</v>
      </c>
      <c r="H5" s="18">
        <v>10</v>
      </c>
      <c r="I5" s="18" t="s">
        <v>189</v>
      </c>
      <c r="J5" s="18">
        <v>1</v>
      </c>
      <c r="K5" s="18">
        <v>4</v>
      </c>
      <c r="L5" s="20" t="s">
        <v>190</v>
      </c>
      <c r="M5" s="21">
        <f t="shared" ref="M5:M36" si="0">IF(G5="","",IF(AND(ISNUMBER(H5),H5&gt;0),G5/H5,G5))</f>
        <v>18.5</v>
      </c>
      <c r="N5" s="18">
        <f>IF(E5="","",IFERROR(IF(INDEX('Tổng hợp'!$D$6:$D$16,MATCH(E5,'Tổng hợp'!$A$6:$A$16,0))="","",INDEX('Tổng hợp'!$D$6:$D$16,MATCH(E5,'Tổng hợp'!$A$6:$A$16,0))),""))</f>
        <v>15</v>
      </c>
      <c r="O5" s="18" t="str">
        <f t="shared" ref="O5:O36" si="1">IF(OR(M5="",N5=""),"",IF(AND(I5="Tự làm được",M5&lt;=N5),"Đạt","Chưa đạt"))</f>
        <v>Chưa đạt</v>
      </c>
    </row>
    <row r="6" spans="1:15">
      <c r="A6" s="8">
        <v>1</v>
      </c>
      <c r="B6" s="22"/>
      <c r="C6" s="10"/>
      <c r="D6" s="8" t="str">
        <f>IF(E6="","",IFERROR(INDEX('Tổng hợp'!$B$6:$B$16,MATCH(E6,'Tổng hợp'!$A$6:$A$16,0)),""))</f>
        <v/>
      </c>
      <c r="E6" s="10"/>
      <c r="F6" s="10"/>
      <c r="G6" s="10"/>
      <c r="H6" s="10"/>
      <c r="I6" s="10"/>
      <c r="J6" s="10"/>
      <c r="K6" s="10"/>
      <c r="L6" s="11"/>
      <c r="M6" s="23" t="str">
        <f t="shared" si="0"/>
        <v/>
      </c>
      <c r="N6" s="8" t="str">
        <f>IF(E6="","",IFERROR(IF(INDEX('Tổng hợp'!$D$6:$D$16,MATCH(E6,'Tổng hợp'!$A$6:$A$16,0))="","",INDEX('Tổng hợp'!$D$6:$D$16,MATCH(E6,'Tổng hợp'!$A$6:$A$16,0))),""))</f>
        <v/>
      </c>
      <c r="O6" s="8" t="str">
        <f t="shared" si="1"/>
        <v/>
      </c>
    </row>
    <row r="7" spans="1:15">
      <c r="A7" s="8">
        <v>2</v>
      </c>
      <c r="B7" s="22"/>
      <c r="C7" s="10"/>
      <c r="D7" s="8" t="str">
        <f>IF(E7="","",IFERROR(INDEX('Tổng hợp'!$B$6:$B$16,MATCH(E7,'Tổng hợp'!$A$6:$A$16,0)),""))</f>
        <v/>
      </c>
      <c r="E7" s="10"/>
      <c r="F7" s="10"/>
      <c r="G7" s="10"/>
      <c r="H7" s="10"/>
      <c r="I7" s="10"/>
      <c r="J7" s="10"/>
      <c r="K7" s="10"/>
      <c r="L7" s="11"/>
      <c r="M7" s="23" t="str">
        <f t="shared" si="0"/>
        <v/>
      </c>
      <c r="N7" s="8" t="str">
        <f>IF(E7="","",IFERROR(IF(INDEX('Tổng hợp'!$D$6:$D$16,MATCH(E7,'Tổng hợp'!$A$6:$A$16,0))="","",INDEX('Tổng hợp'!$D$6:$D$16,MATCH(E7,'Tổng hợp'!$A$6:$A$16,0))),""))</f>
        <v/>
      </c>
      <c r="O7" s="8" t="str">
        <f t="shared" si="1"/>
        <v/>
      </c>
    </row>
    <row r="8" spans="1:15">
      <c r="A8" s="8">
        <v>3</v>
      </c>
      <c r="B8" s="22"/>
      <c r="C8" s="10"/>
      <c r="D8" s="8" t="str">
        <f>IF(E8="","",IFERROR(INDEX('Tổng hợp'!$B$6:$B$16,MATCH(E8,'Tổng hợp'!$A$6:$A$16,0)),""))</f>
        <v/>
      </c>
      <c r="E8" s="10"/>
      <c r="F8" s="10"/>
      <c r="G8" s="10"/>
      <c r="H8" s="10"/>
      <c r="I8" s="10"/>
      <c r="J8" s="10"/>
      <c r="K8" s="10"/>
      <c r="L8" s="11"/>
      <c r="M8" s="23" t="str">
        <f t="shared" si="0"/>
        <v/>
      </c>
      <c r="N8" s="8" t="str">
        <f>IF(E8="","",IFERROR(IF(INDEX('Tổng hợp'!$D$6:$D$16,MATCH(E8,'Tổng hợp'!$A$6:$A$16,0))="","",INDEX('Tổng hợp'!$D$6:$D$16,MATCH(E8,'Tổng hợp'!$A$6:$A$16,0))),""))</f>
        <v/>
      </c>
      <c r="O8" s="8" t="str">
        <f t="shared" si="1"/>
        <v/>
      </c>
    </row>
    <row r="9" spans="1:15">
      <c r="A9" s="8">
        <v>4</v>
      </c>
      <c r="B9" s="22"/>
      <c r="C9" s="10"/>
      <c r="D9" s="8" t="str">
        <f>IF(E9="","",IFERROR(INDEX('Tổng hợp'!$B$6:$B$16,MATCH(E9,'Tổng hợp'!$A$6:$A$16,0)),""))</f>
        <v/>
      </c>
      <c r="E9" s="10"/>
      <c r="F9" s="10"/>
      <c r="G9" s="10"/>
      <c r="H9" s="10"/>
      <c r="I9" s="10"/>
      <c r="J9" s="10"/>
      <c r="K9" s="10"/>
      <c r="L9" s="11"/>
      <c r="M9" s="23" t="str">
        <f t="shared" si="0"/>
        <v/>
      </c>
      <c r="N9" s="8" t="str">
        <f>IF(E9="","",IFERROR(IF(INDEX('Tổng hợp'!$D$6:$D$16,MATCH(E9,'Tổng hợp'!$A$6:$A$16,0))="","",INDEX('Tổng hợp'!$D$6:$D$16,MATCH(E9,'Tổng hợp'!$A$6:$A$16,0))),""))</f>
        <v/>
      </c>
      <c r="O9" s="8" t="str">
        <f t="shared" si="1"/>
        <v/>
      </c>
    </row>
    <row r="10" spans="1:15">
      <c r="A10" s="8">
        <v>5</v>
      </c>
      <c r="B10" s="22"/>
      <c r="C10" s="10"/>
      <c r="D10" s="8" t="str">
        <f>IF(E10="","",IFERROR(INDEX('Tổng hợp'!$B$6:$B$16,MATCH(E10,'Tổng hợp'!$A$6:$A$16,0)),""))</f>
        <v/>
      </c>
      <c r="E10" s="10"/>
      <c r="F10" s="10"/>
      <c r="G10" s="10"/>
      <c r="H10" s="10"/>
      <c r="I10" s="10"/>
      <c r="J10" s="10"/>
      <c r="K10" s="10"/>
      <c r="L10" s="11"/>
      <c r="M10" s="23" t="str">
        <f t="shared" si="0"/>
        <v/>
      </c>
      <c r="N10" s="8" t="str">
        <f>IF(E10="","",IFERROR(IF(INDEX('Tổng hợp'!$D$6:$D$16,MATCH(E10,'Tổng hợp'!$A$6:$A$16,0))="","",INDEX('Tổng hợp'!$D$6:$D$16,MATCH(E10,'Tổng hợp'!$A$6:$A$16,0))),""))</f>
        <v/>
      </c>
      <c r="O10" s="8" t="str">
        <f t="shared" si="1"/>
        <v/>
      </c>
    </row>
    <row r="11" spans="1:15">
      <c r="A11" s="8">
        <v>6</v>
      </c>
      <c r="B11" s="22"/>
      <c r="C11" s="10"/>
      <c r="D11" s="8" t="str">
        <f>IF(E11="","",IFERROR(INDEX('Tổng hợp'!$B$6:$B$16,MATCH(E11,'Tổng hợp'!$A$6:$A$16,0)),""))</f>
        <v/>
      </c>
      <c r="E11" s="10"/>
      <c r="F11" s="10"/>
      <c r="G11" s="10"/>
      <c r="H11" s="10"/>
      <c r="I11" s="10"/>
      <c r="J11" s="10"/>
      <c r="K11" s="10"/>
      <c r="L11" s="11"/>
      <c r="M11" s="23" t="str">
        <f t="shared" si="0"/>
        <v/>
      </c>
      <c r="N11" s="8" t="str">
        <f>IF(E11="","",IFERROR(IF(INDEX('Tổng hợp'!$D$6:$D$16,MATCH(E11,'Tổng hợp'!$A$6:$A$16,0))="","",INDEX('Tổng hợp'!$D$6:$D$16,MATCH(E11,'Tổng hợp'!$A$6:$A$16,0))),""))</f>
        <v/>
      </c>
      <c r="O11" s="8" t="str">
        <f t="shared" si="1"/>
        <v/>
      </c>
    </row>
    <row r="12" spans="1:15">
      <c r="A12" s="8">
        <v>7</v>
      </c>
      <c r="B12" s="22"/>
      <c r="C12" s="10"/>
      <c r="D12" s="8" t="str">
        <f>IF(E12="","",IFERROR(INDEX('Tổng hợp'!$B$6:$B$16,MATCH(E12,'Tổng hợp'!$A$6:$A$16,0)),""))</f>
        <v/>
      </c>
      <c r="E12" s="10"/>
      <c r="F12" s="10"/>
      <c r="G12" s="10"/>
      <c r="H12" s="10"/>
      <c r="I12" s="10"/>
      <c r="J12" s="10"/>
      <c r="K12" s="10"/>
      <c r="L12" s="11"/>
      <c r="M12" s="23" t="str">
        <f t="shared" si="0"/>
        <v/>
      </c>
      <c r="N12" s="8" t="str">
        <f>IF(E12="","",IFERROR(IF(INDEX('Tổng hợp'!$D$6:$D$16,MATCH(E12,'Tổng hợp'!$A$6:$A$16,0))="","",INDEX('Tổng hợp'!$D$6:$D$16,MATCH(E12,'Tổng hợp'!$A$6:$A$16,0))),""))</f>
        <v/>
      </c>
      <c r="O12" s="8" t="str">
        <f t="shared" si="1"/>
        <v/>
      </c>
    </row>
    <row r="13" spans="1:15">
      <c r="A13" s="8">
        <v>8</v>
      </c>
      <c r="B13" s="22"/>
      <c r="C13" s="10"/>
      <c r="D13" s="8" t="str">
        <f>IF(E13="","",IFERROR(INDEX('Tổng hợp'!$B$6:$B$16,MATCH(E13,'Tổng hợp'!$A$6:$A$16,0)),""))</f>
        <v/>
      </c>
      <c r="E13" s="10"/>
      <c r="F13" s="10"/>
      <c r="G13" s="10"/>
      <c r="H13" s="10"/>
      <c r="I13" s="10"/>
      <c r="J13" s="10"/>
      <c r="K13" s="10"/>
      <c r="L13" s="11"/>
      <c r="M13" s="23" t="str">
        <f t="shared" si="0"/>
        <v/>
      </c>
      <c r="N13" s="8" t="str">
        <f>IF(E13="","",IFERROR(IF(INDEX('Tổng hợp'!$D$6:$D$16,MATCH(E13,'Tổng hợp'!$A$6:$A$16,0))="","",INDEX('Tổng hợp'!$D$6:$D$16,MATCH(E13,'Tổng hợp'!$A$6:$A$16,0))),""))</f>
        <v/>
      </c>
      <c r="O13" s="8" t="str">
        <f t="shared" si="1"/>
        <v/>
      </c>
    </row>
    <row r="14" spans="1:15">
      <c r="A14" s="8">
        <v>9</v>
      </c>
      <c r="B14" s="22"/>
      <c r="C14" s="10"/>
      <c r="D14" s="8" t="str">
        <f>IF(E14="","",IFERROR(INDEX('Tổng hợp'!$B$6:$B$16,MATCH(E14,'Tổng hợp'!$A$6:$A$16,0)),""))</f>
        <v/>
      </c>
      <c r="E14" s="10"/>
      <c r="F14" s="10"/>
      <c r="G14" s="10"/>
      <c r="H14" s="10"/>
      <c r="I14" s="10"/>
      <c r="J14" s="10"/>
      <c r="K14" s="10"/>
      <c r="L14" s="11"/>
      <c r="M14" s="23" t="str">
        <f t="shared" si="0"/>
        <v/>
      </c>
      <c r="N14" s="8" t="str">
        <f>IF(E14="","",IFERROR(IF(INDEX('Tổng hợp'!$D$6:$D$16,MATCH(E14,'Tổng hợp'!$A$6:$A$16,0))="","",INDEX('Tổng hợp'!$D$6:$D$16,MATCH(E14,'Tổng hợp'!$A$6:$A$16,0))),""))</f>
        <v/>
      </c>
      <c r="O14" s="8" t="str">
        <f t="shared" si="1"/>
        <v/>
      </c>
    </row>
    <row r="15" spans="1:15">
      <c r="A15" s="8">
        <v>10</v>
      </c>
      <c r="B15" s="22"/>
      <c r="C15" s="10"/>
      <c r="D15" s="8" t="str">
        <f>IF(E15="","",IFERROR(INDEX('Tổng hợp'!$B$6:$B$16,MATCH(E15,'Tổng hợp'!$A$6:$A$16,0)),""))</f>
        <v/>
      </c>
      <c r="E15" s="10"/>
      <c r="F15" s="10"/>
      <c r="G15" s="10"/>
      <c r="H15" s="10"/>
      <c r="I15" s="10"/>
      <c r="J15" s="10"/>
      <c r="K15" s="10"/>
      <c r="L15" s="11"/>
      <c r="M15" s="23" t="str">
        <f t="shared" si="0"/>
        <v/>
      </c>
      <c r="N15" s="8" t="str">
        <f>IF(E15="","",IFERROR(IF(INDEX('Tổng hợp'!$D$6:$D$16,MATCH(E15,'Tổng hợp'!$A$6:$A$16,0))="","",INDEX('Tổng hợp'!$D$6:$D$16,MATCH(E15,'Tổng hợp'!$A$6:$A$16,0))),""))</f>
        <v/>
      </c>
      <c r="O15" s="8" t="str">
        <f t="shared" si="1"/>
        <v/>
      </c>
    </row>
    <row r="16" spans="1:15">
      <c r="A16" s="8">
        <v>11</v>
      </c>
      <c r="B16" s="22"/>
      <c r="C16" s="10"/>
      <c r="D16" s="8" t="str">
        <f>IF(E16="","",IFERROR(INDEX('Tổng hợp'!$B$6:$B$16,MATCH(E16,'Tổng hợp'!$A$6:$A$16,0)),""))</f>
        <v/>
      </c>
      <c r="E16" s="10"/>
      <c r="F16" s="10"/>
      <c r="G16" s="10"/>
      <c r="H16" s="10"/>
      <c r="I16" s="10"/>
      <c r="J16" s="10"/>
      <c r="K16" s="10"/>
      <c r="L16" s="11"/>
      <c r="M16" s="23" t="str">
        <f t="shared" si="0"/>
        <v/>
      </c>
      <c r="N16" s="8" t="str">
        <f>IF(E16="","",IFERROR(IF(INDEX('Tổng hợp'!$D$6:$D$16,MATCH(E16,'Tổng hợp'!$A$6:$A$16,0))="","",INDEX('Tổng hợp'!$D$6:$D$16,MATCH(E16,'Tổng hợp'!$A$6:$A$16,0))),""))</f>
        <v/>
      </c>
      <c r="O16" s="8" t="str">
        <f t="shared" si="1"/>
        <v/>
      </c>
    </row>
    <row r="17" spans="1:15">
      <c r="A17" s="8">
        <v>12</v>
      </c>
      <c r="B17" s="22"/>
      <c r="C17" s="10"/>
      <c r="D17" s="8" t="str">
        <f>IF(E17="","",IFERROR(INDEX('Tổng hợp'!$B$6:$B$16,MATCH(E17,'Tổng hợp'!$A$6:$A$16,0)),""))</f>
        <v/>
      </c>
      <c r="E17" s="10"/>
      <c r="F17" s="10"/>
      <c r="G17" s="10"/>
      <c r="H17" s="10"/>
      <c r="I17" s="10"/>
      <c r="J17" s="10"/>
      <c r="K17" s="10"/>
      <c r="L17" s="11"/>
      <c r="M17" s="23" t="str">
        <f t="shared" si="0"/>
        <v/>
      </c>
      <c r="N17" s="8" t="str">
        <f>IF(E17="","",IFERROR(IF(INDEX('Tổng hợp'!$D$6:$D$16,MATCH(E17,'Tổng hợp'!$A$6:$A$16,0))="","",INDEX('Tổng hợp'!$D$6:$D$16,MATCH(E17,'Tổng hợp'!$A$6:$A$16,0))),""))</f>
        <v/>
      </c>
      <c r="O17" s="8" t="str">
        <f t="shared" si="1"/>
        <v/>
      </c>
    </row>
    <row r="18" spans="1:15">
      <c r="A18" s="8">
        <v>13</v>
      </c>
      <c r="B18" s="22"/>
      <c r="C18" s="10"/>
      <c r="D18" s="8" t="str">
        <f>IF(E18="","",IFERROR(INDEX('Tổng hợp'!$B$6:$B$16,MATCH(E18,'Tổng hợp'!$A$6:$A$16,0)),""))</f>
        <v/>
      </c>
      <c r="E18" s="10"/>
      <c r="F18" s="10"/>
      <c r="G18" s="10"/>
      <c r="H18" s="10"/>
      <c r="I18" s="10"/>
      <c r="J18" s="10"/>
      <c r="K18" s="10"/>
      <c r="L18" s="11"/>
      <c r="M18" s="23" t="str">
        <f t="shared" si="0"/>
        <v/>
      </c>
      <c r="N18" s="8" t="str">
        <f>IF(E18="","",IFERROR(IF(INDEX('Tổng hợp'!$D$6:$D$16,MATCH(E18,'Tổng hợp'!$A$6:$A$16,0))="","",INDEX('Tổng hợp'!$D$6:$D$16,MATCH(E18,'Tổng hợp'!$A$6:$A$16,0))),""))</f>
        <v/>
      </c>
      <c r="O18" s="8" t="str">
        <f t="shared" si="1"/>
        <v/>
      </c>
    </row>
    <row r="19" spans="1:15">
      <c r="A19" s="8">
        <v>14</v>
      </c>
      <c r="B19" s="22"/>
      <c r="C19" s="10"/>
      <c r="D19" s="8" t="str">
        <f>IF(E19="","",IFERROR(INDEX('Tổng hợp'!$B$6:$B$16,MATCH(E19,'Tổng hợp'!$A$6:$A$16,0)),""))</f>
        <v/>
      </c>
      <c r="E19" s="10"/>
      <c r="F19" s="10"/>
      <c r="G19" s="10"/>
      <c r="H19" s="10"/>
      <c r="I19" s="10"/>
      <c r="J19" s="10"/>
      <c r="K19" s="10"/>
      <c r="L19" s="11"/>
      <c r="M19" s="23" t="str">
        <f t="shared" si="0"/>
        <v/>
      </c>
      <c r="N19" s="8" t="str">
        <f>IF(E19="","",IFERROR(IF(INDEX('Tổng hợp'!$D$6:$D$16,MATCH(E19,'Tổng hợp'!$A$6:$A$16,0))="","",INDEX('Tổng hợp'!$D$6:$D$16,MATCH(E19,'Tổng hợp'!$A$6:$A$16,0))),""))</f>
        <v/>
      </c>
      <c r="O19" s="8" t="str">
        <f t="shared" si="1"/>
        <v/>
      </c>
    </row>
    <row r="20" spans="1:15">
      <c r="A20" s="8">
        <v>15</v>
      </c>
      <c r="B20" s="22"/>
      <c r="C20" s="10"/>
      <c r="D20" s="8" t="str">
        <f>IF(E20="","",IFERROR(INDEX('Tổng hợp'!$B$6:$B$16,MATCH(E20,'Tổng hợp'!$A$6:$A$16,0)),""))</f>
        <v/>
      </c>
      <c r="E20" s="10"/>
      <c r="F20" s="10"/>
      <c r="G20" s="10"/>
      <c r="H20" s="10"/>
      <c r="I20" s="10"/>
      <c r="J20" s="10"/>
      <c r="K20" s="10"/>
      <c r="L20" s="11"/>
      <c r="M20" s="23" t="str">
        <f t="shared" si="0"/>
        <v/>
      </c>
      <c r="N20" s="8" t="str">
        <f>IF(E20="","",IFERROR(IF(INDEX('Tổng hợp'!$D$6:$D$16,MATCH(E20,'Tổng hợp'!$A$6:$A$16,0))="","",INDEX('Tổng hợp'!$D$6:$D$16,MATCH(E20,'Tổng hợp'!$A$6:$A$16,0))),""))</f>
        <v/>
      </c>
      <c r="O20" s="8" t="str">
        <f t="shared" si="1"/>
        <v/>
      </c>
    </row>
    <row r="21" spans="1:15">
      <c r="A21" s="8">
        <v>16</v>
      </c>
      <c r="B21" s="22"/>
      <c r="C21" s="10"/>
      <c r="D21" s="8" t="str">
        <f>IF(E21="","",IFERROR(INDEX('Tổng hợp'!$B$6:$B$16,MATCH(E21,'Tổng hợp'!$A$6:$A$16,0)),""))</f>
        <v/>
      </c>
      <c r="E21" s="10"/>
      <c r="F21" s="10"/>
      <c r="G21" s="10"/>
      <c r="H21" s="10"/>
      <c r="I21" s="10"/>
      <c r="J21" s="10"/>
      <c r="K21" s="10"/>
      <c r="L21" s="11"/>
      <c r="M21" s="23" t="str">
        <f t="shared" si="0"/>
        <v/>
      </c>
      <c r="N21" s="8" t="str">
        <f>IF(E21="","",IFERROR(IF(INDEX('Tổng hợp'!$D$6:$D$16,MATCH(E21,'Tổng hợp'!$A$6:$A$16,0))="","",INDEX('Tổng hợp'!$D$6:$D$16,MATCH(E21,'Tổng hợp'!$A$6:$A$16,0))),""))</f>
        <v/>
      </c>
      <c r="O21" s="8" t="str">
        <f t="shared" si="1"/>
        <v/>
      </c>
    </row>
    <row r="22" spans="1:15">
      <c r="A22" s="8">
        <v>17</v>
      </c>
      <c r="B22" s="22"/>
      <c r="C22" s="10"/>
      <c r="D22" s="8" t="str">
        <f>IF(E22="","",IFERROR(INDEX('Tổng hợp'!$B$6:$B$16,MATCH(E22,'Tổng hợp'!$A$6:$A$16,0)),""))</f>
        <v/>
      </c>
      <c r="E22" s="10"/>
      <c r="F22" s="10"/>
      <c r="G22" s="10"/>
      <c r="H22" s="10"/>
      <c r="I22" s="10"/>
      <c r="J22" s="10"/>
      <c r="K22" s="10"/>
      <c r="L22" s="11"/>
      <c r="M22" s="23" t="str">
        <f t="shared" si="0"/>
        <v/>
      </c>
      <c r="N22" s="8" t="str">
        <f>IF(E22="","",IFERROR(IF(INDEX('Tổng hợp'!$D$6:$D$16,MATCH(E22,'Tổng hợp'!$A$6:$A$16,0))="","",INDEX('Tổng hợp'!$D$6:$D$16,MATCH(E22,'Tổng hợp'!$A$6:$A$16,0))),""))</f>
        <v/>
      </c>
      <c r="O22" s="8" t="str">
        <f t="shared" si="1"/>
        <v/>
      </c>
    </row>
    <row r="23" spans="1:15">
      <c r="A23" s="8">
        <v>18</v>
      </c>
      <c r="B23" s="22"/>
      <c r="C23" s="10"/>
      <c r="D23" s="8" t="str">
        <f>IF(E23="","",IFERROR(INDEX('Tổng hợp'!$B$6:$B$16,MATCH(E23,'Tổng hợp'!$A$6:$A$16,0)),""))</f>
        <v/>
      </c>
      <c r="E23" s="10"/>
      <c r="F23" s="10"/>
      <c r="G23" s="10"/>
      <c r="H23" s="10"/>
      <c r="I23" s="10"/>
      <c r="J23" s="10"/>
      <c r="K23" s="10"/>
      <c r="L23" s="11"/>
      <c r="M23" s="23" t="str">
        <f t="shared" si="0"/>
        <v/>
      </c>
      <c r="N23" s="8" t="str">
        <f>IF(E23="","",IFERROR(IF(INDEX('Tổng hợp'!$D$6:$D$16,MATCH(E23,'Tổng hợp'!$A$6:$A$16,0))="","",INDEX('Tổng hợp'!$D$6:$D$16,MATCH(E23,'Tổng hợp'!$A$6:$A$16,0))),""))</f>
        <v/>
      </c>
      <c r="O23" s="8" t="str">
        <f t="shared" si="1"/>
        <v/>
      </c>
    </row>
    <row r="24" spans="1:15">
      <c r="A24" s="8">
        <v>19</v>
      </c>
      <c r="B24" s="22"/>
      <c r="C24" s="10"/>
      <c r="D24" s="8" t="str">
        <f>IF(E24="","",IFERROR(INDEX('Tổng hợp'!$B$6:$B$16,MATCH(E24,'Tổng hợp'!$A$6:$A$16,0)),""))</f>
        <v/>
      </c>
      <c r="E24" s="10"/>
      <c r="F24" s="10"/>
      <c r="G24" s="10"/>
      <c r="H24" s="10"/>
      <c r="I24" s="10"/>
      <c r="J24" s="10"/>
      <c r="K24" s="10"/>
      <c r="L24" s="11"/>
      <c r="M24" s="23" t="str">
        <f t="shared" si="0"/>
        <v/>
      </c>
      <c r="N24" s="8" t="str">
        <f>IF(E24="","",IFERROR(IF(INDEX('Tổng hợp'!$D$6:$D$16,MATCH(E24,'Tổng hợp'!$A$6:$A$16,0))="","",INDEX('Tổng hợp'!$D$6:$D$16,MATCH(E24,'Tổng hợp'!$A$6:$A$16,0))),""))</f>
        <v/>
      </c>
      <c r="O24" s="8" t="str">
        <f t="shared" si="1"/>
        <v/>
      </c>
    </row>
    <row r="25" spans="1:15">
      <c r="A25" s="8">
        <v>20</v>
      </c>
      <c r="B25" s="22"/>
      <c r="C25" s="10"/>
      <c r="D25" s="8" t="str">
        <f>IF(E25="","",IFERROR(INDEX('Tổng hợp'!$B$6:$B$16,MATCH(E25,'Tổng hợp'!$A$6:$A$16,0)),""))</f>
        <v/>
      </c>
      <c r="E25" s="10"/>
      <c r="F25" s="10"/>
      <c r="G25" s="10"/>
      <c r="H25" s="10"/>
      <c r="I25" s="10"/>
      <c r="J25" s="10"/>
      <c r="K25" s="10"/>
      <c r="L25" s="11"/>
      <c r="M25" s="23" t="str">
        <f t="shared" si="0"/>
        <v/>
      </c>
      <c r="N25" s="8" t="str">
        <f>IF(E25="","",IFERROR(IF(INDEX('Tổng hợp'!$D$6:$D$16,MATCH(E25,'Tổng hợp'!$A$6:$A$16,0))="","",INDEX('Tổng hợp'!$D$6:$D$16,MATCH(E25,'Tổng hợp'!$A$6:$A$16,0))),""))</f>
        <v/>
      </c>
      <c r="O25" s="8" t="str">
        <f t="shared" si="1"/>
        <v/>
      </c>
    </row>
    <row r="26" spans="1:15">
      <c r="A26" s="8">
        <v>21</v>
      </c>
      <c r="B26" s="22"/>
      <c r="C26" s="10"/>
      <c r="D26" s="8" t="str">
        <f>IF(E26="","",IFERROR(INDEX('Tổng hợp'!$B$6:$B$16,MATCH(E26,'Tổng hợp'!$A$6:$A$16,0)),""))</f>
        <v/>
      </c>
      <c r="E26" s="10"/>
      <c r="F26" s="10"/>
      <c r="G26" s="10"/>
      <c r="H26" s="10"/>
      <c r="I26" s="10"/>
      <c r="J26" s="10"/>
      <c r="K26" s="10"/>
      <c r="L26" s="11"/>
      <c r="M26" s="23" t="str">
        <f t="shared" si="0"/>
        <v/>
      </c>
      <c r="N26" s="8" t="str">
        <f>IF(E26="","",IFERROR(IF(INDEX('Tổng hợp'!$D$6:$D$16,MATCH(E26,'Tổng hợp'!$A$6:$A$16,0))="","",INDEX('Tổng hợp'!$D$6:$D$16,MATCH(E26,'Tổng hợp'!$A$6:$A$16,0))),""))</f>
        <v/>
      </c>
      <c r="O26" s="8" t="str">
        <f t="shared" si="1"/>
        <v/>
      </c>
    </row>
    <row r="27" spans="1:15">
      <c r="A27" s="8">
        <v>22</v>
      </c>
      <c r="B27" s="22"/>
      <c r="C27" s="10"/>
      <c r="D27" s="8" t="str">
        <f>IF(E27="","",IFERROR(INDEX('Tổng hợp'!$B$6:$B$16,MATCH(E27,'Tổng hợp'!$A$6:$A$16,0)),""))</f>
        <v/>
      </c>
      <c r="E27" s="10"/>
      <c r="F27" s="10"/>
      <c r="G27" s="10"/>
      <c r="H27" s="10"/>
      <c r="I27" s="10"/>
      <c r="J27" s="10"/>
      <c r="K27" s="10"/>
      <c r="L27" s="11"/>
      <c r="M27" s="23" t="str">
        <f t="shared" si="0"/>
        <v/>
      </c>
      <c r="N27" s="8" t="str">
        <f>IF(E27="","",IFERROR(IF(INDEX('Tổng hợp'!$D$6:$D$16,MATCH(E27,'Tổng hợp'!$A$6:$A$16,0))="","",INDEX('Tổng hợp'!$D$6:$D$16,MATCH(E27,'Tổng hợp'!$A$6:$A$16,0))),""))</f>
        <v/>
      </c>
      <c r="O27" s="8" t="str">
        <f t="shared" si="1"/>
        <v/>
      </c>
    </row>
    <row r="28" spans="1:15">
      <c r="A28" s="8">
        <v>23</v>
      </c>
      <c r="B28" s="22"/>
      <c r="C28" s="10"/>
      <c r="D28" s="8" t="str">
        <f>IF(E28="","",IFERROR(INDEX('Tổng hợp'!$B$6:$B$16,MATCH(E28,'Tổng hợp'!$A$6:$A$16,0)),""))</f>
        <v/>
      </c>
      <c r="E28" s="10"/>
      <c r="F28" s="10"/>
      <c r="G28" s="10"/>
      <c r="H28" s="10"/>
      <c r="I28" s="10"/>
      <c r="J28" s="10"/>
      <c r="K28" s="10"/>
      <c r="L28" s="11"/>
      <c r="M28" s="23" t="str">
        <f t="shared" si="0"/>
        <v/>
      </c>
      <c r="N28" s="8" t="str">
        <f>IF(E28="","",IFERROR(IF(INDEX('Tổng hợp'!$D$6:$D$16,MATCH(E28,'Tổng hợp'!$A$6:$A$16,0))="","",INDEX('Tổng hợp'!$D$6:$D$16,MATCH(E28,'Tổng hợp'!$A$6:$A$16,0))),""))</f>
        <v/>
      </c>
      <c r="O28" s="8" t="str">
        <f t="shared" si="1"/>
        <v/>
      </c>
    </row>
    <row r="29" spans="1:15">
      <c r="A29" s="8">
        <v>24</v>
      </c>
      <c r="B29" s="22"/>
      <c r="C29" s="10"/>
      <c r="D29" s="8" t="str">
        <f>IF(E29="","",IFERROR(INDEX('Tổng hợp'!$B$6:$B$16,MATCH(E29,'Tổng hợp'!$A$6:$A$16,0)),""))</f>
        <v/>
      </c>
      <c r="E29" s="10"/>
      <c r="F29" s="10"/>
      <c r="G29" s="10"/>
      <c r="H29" s="10"/>
      <c r="I29" s="10"/>
      <c r="J29" s="10"/>
      <c r="K29" s="10"/>
      <c r="L29" s="11"/>
      <c r="M29" s="23" t="str">
        <f t="shared" si="0"/>
        <v/>
      </c>
      <c r="N29" s="8" t="str">
        <f>IF(E29="","",IFERROR(IF(INDEX('Tổng hợp'!$D$6:$D$16,MATCH(E29,'Tổng hợp'!$A$6:$A$16,0))="","",INDEX('Tổng hợp'!$D$6:$D$16,MATCH(E29,'Tổng hợp'!$A$6:$A$16,0))),""))</f>
        <v/>
      </c>
      <c r="O29" s="8" t="str">
        <f t="shared" si="1"/>
        <v/>
      </c>
    </row>
    <row r="30" spans="1:15">
      <c r="A30" s="8">
        <v>25</v>
      </c>
      <c r="B30" s="22"/>
      <c r="C30" s="10"/>
      <c r="D30" s="8" t="str">
        <f>IF(E30="","",IFERROR(INDEX('Tổng hợp'!$B$6:$B$16,MATCH(E30,'Tổng hợp'!$A$6:$A$16,0)),""))</f>
        <v/>
      </c>
      <c r="E30" s="10"/>
      <c r="F30" s="10"/>
      <c r="G30" s="10"/>
      <c r="H30" s="10"/>
      <c r="I30" s="10"/>
      <c r="J30" s="10"/>
      <c r="K30" s="10"/>
      <c r="L30" s="11"/>
      <c r="M30" s="23" t="str">
        <f t="shared" si="0"/>
        <v/>
      </c>
      <c r="N30" s="8" t="str">
        <f>IF(E30="","",IFERROR(IF(INDEX('Tổng hợp'!$D$6:$D$16,MATCH(E30,'Tổng hợp'!$A$6:$A$16,0))="","",INDEX('Tổng hợp'!$D$6:$D$16,MATCH(E30,'Tổng hợp'!$A$6:$A$16,0))),""))</f>
        <v/>
      </c>
      <c r="O30" s="8" t="str">
        <f t="shared" si="1"/>
        <v/>
      </c>
    </row>
    <row r="31" spans="1:15">
      <c r="A31" s="8">
        <v>26</v>
      </c>
      <c r="B31" s="22"/>
      <c r="C31" s="10"/>
      <c r="D31" s="8" t="str">
        <f>IF(E31="","",IFERROR(INDEX('Tổng hợp'!$B$6:$B$16,MATCH(E31,'Tổng hợp'!$A$6:$A$16,0)),""))</f>
        <v/>
      </c>
      <c r="E31" s="10"/>
      <c r="F31" s="10"/>
      <c r="G31" s="10"/>
      <c r="H31" s="10"/>
      <c r="I31" s="10"/>
      <c r="J31" s="10"/>
      <c r="K31" s="10"/>
      <c r="L31" s="11"/>
      <c r="M31" s="23" t="str">
        <f t="shared" si="0"/>
        <v/>
      </c>
      <c r="N31" s="8" t="str">
        <f>IF(E31="","",IFERROR(IF(INDEX('Tổng hợp'!$D$6:$D$16,MATCH(E31,'Tổng hợp'!$A$6:$A$16,0))="","",INDEX('Tổng hợp'!$D$6:$D$16,MATCH(E31,'Tổng hợp'!$A$6:$A$16,0))),""))</f>
        <v/>
      </c>
      <c r="O31" s="8" t="str">
        <f t="shared" si="1"/>
        <v/>
      </c>
    </row>
    <row r="32" spans="1:15">
      <c r="A32" s="8">
        <v>27</v>
      </c>
      <c r="B32" s="22"/>
      <c r="C32" s="10"/>
      <c r="D32" s="8" t="str">
        <f>IF(E32="","",IFERROR(INDEX('Tổng hợp'!$B$6:$B$16,MATCH(E32,'Tổng hợp'!$A$6:$A$16,0)),""))</f>
        <v/>
      </c>
      <c r="E32" s="10"/>
      <c r="F32" s="10"/>
      <c r="G32" s="10"/>
      <c r="H32" s="10"/>
      <c r="I32" s="10"/>
      <c r="J32" s="10"/>
      <c r="K32" s="10"/>
      <c r="L32" s="11"/>
      <c r="M32" s="23" t="str">
        <f t="shared" si="0"/>
        <v/>
      </c>
      <c r="N32" s="8" t="str">
        <f>IF(E32="","",IFERROR(IF(INDEX('Tổng hợp'!$D$6:$D$16,MATCH(E32,'Tổng hợp'!$A$6:$A$16,0))="","",INDEX('Tổng hợp'!$D$6:$D$16,MATCH(E32,'Tổng hợp'!$A$6:$A$16,0))),""))</f>
        <v/>
      </c>
      <c r="O32" s="8" t="str">
        <f t="shared" si="1"/>
        <v/>
      </c>
    </row>
    <row r="33" spans="1:15">
      <c r="A33" s="8">
        <v>28</v>
      </c>
      <c r="B33" s="22"/>
      <c r="C33" s="10"/>
      <c r="D33" s="8" t="str">
        <f>IF(E33="","",IFERROR(INDEX('Tổng hợp'!$B$6:$B$16,MATCH(E33,'Tổng hợp'!$A$6:$A$16,0)),""))</f>
        <v/>
      </c>
      <c r="E33" s="10"/>
      <c r="F33" s="10"/>
      <c r="G33" s="10"/>
      <c r="H33" s="10"/>
      <c r="I33" s="10"/>
      <c r="J33" s="10"/>
      <c r="K33" s="10"/>
      <c r="L33" s="11"/>
      <c r="M33" s="23" t="str">
        <f t="shared" si="0"/>
        <v/>
      </c>
      <c r="N33" s="8" t="str">
        <f>IF(E33="","",IFERROR(IF(INDEX('Tổng hợp'!$D$6:$D$16,MATCH(E33,'Tổng hợp'!$A$6:$A$16,0))="","",INDEX('Tổng hợp'!$D$6:$D$16,MATCH(E33,'Tổng hợp'!$A$6:$A$16,0))),""))</f>
        <v/>
      </c>
      <c r="O33" s="8" t="str">
        <f t="shared" si="1"/>
        <v/>
      </c>
    </row>
    <row r="34" spans="1:15">
      <c r="A34" s="8">
        <v>29</v>
      </c>
      <c r="B34" s="22"/>
      <c r="C34" s="10"/>
      <c r="D34" s="8" t="str">
        <f>IF(E34="","",IFERROR(INDEX('Tổng hợp'!$B$6:$B$16,MATCH(E34,'Tổng hợp'!$A$6:$A$16,0)),""))</f>
        <v/>
      </c>
      <c r="E34" s="10"/>
      <c r="F34" s="10"/>
      <c r="G34" s="10"/>
      <c r="H34" s="10"/>
      <c r="I34" s="10"/>
      <c r="J34" s="10"/>
      <c r="K34" s="10"/>
      <c r="L34" s="11"/>
      <c r="M34" s="23" t="str">
        <f t="shared" si="0"/>
        <v/>
      </c>
      <c r="N34" s="8" t="str">
        <f>IF(E34="","",IFERROR(IF(INDEX('Tổng hợp'!$D$6:$D$16,MATCH(E34,'Tổng hợp'!$A$6:$A$16,0))="","",INDEX('Tổng hợp'!$D$6:$D$16,MATCH(E34,'Tổng hợp'!$A$6:$A$16,0))),""))</f>
        <v/>
      </c>
      <c r="O34" s="8" t="str">
        <f t="shared" si="1"/>
        <v/>
      </c>
    </row>
    <row r="35" spans="1:15">
      <c r="A35" s="8">
        <v>30</v>
      </c>
      <c r="B35" s="22"/>
      <c r="C35" s="10"/>
      <c r="D35" s="8" t="str">
        <f>IF(E35="","",IFERROR(INDEX('Tổng hợp'!$B$6:$B$16,MATCH(E35,'Tổng hợp'!$A$6:$A$16,0)),""))</f>
        <v/>
      </c>
      <c r="E35" s="10"/>
      <c r="F35" s="10"/>
      <c r="G35" s="10"/>
      <c r="H35" s="10"/>
      <c r="I35" s="10"/>
      <c r="J35" s="10"/>
      <c r="K35" s="10"/>
      <c r="L35" s="11"/>
      <c r="M35" s="23" t="str">
        <f t="shared" si="0"/>
        <v/>
      </c>
      <c r="N35" s="8" t="str">
        <f>IF(E35="","",IFERROR(IF(INDEX('Tổng hợp'!$D$6:$D$16,MATCH(E35,'Tổng hợp'!$A$6:$A$16,0))="","",INDEX('Tổng hợp'!$D$6:$D$16,MATCH(E35,'Tổng hợp'!$A$6:$A$16,0))),""))</f>
        <v/>
      </c>
      <c r="O35" s="8" t="str">
        <f t="shared" si="1"/>
        <v/>
      </c>
    </row>
    <row r="36" spans="1:15">
      <c r="A36" s="8">
        <v>31</v>
      </c>
      <c r="B36" s="22"/>
      <c r="C36" s="10"/>
      <c r="D36" s="8" t="str">
        <f>IF(E36="","",IFERROR(INDEX('Tổng hợp'!$B$6:$B$16,MATCH(E36,'Tổng hợp'!$A$6:$A$16,0)),""))</f>
        <v/>
      </c>
      <c r="E36" s="10"/>
      <c r="F36" s="10"/>
      <c r="G36" s="10"/>
      <c r="H36" s="10"/>
      <c r="I36" s="10"/>
      <c r="J36" s="10"/>
      <c r="K36" s="10"/>
      <c r="L36" s="11"/>
      <c r="M36" s="23" t="str">
        <f t="shared" si="0"/>
        <v/>
      </c>
      <c r="N36" s="8" t="str">
        <f>IF(E36="","",IFERROR(IF(INDEX('Tổng hợp'!$D$6:$D$16,MATCH(E36,'Tổng hợp'!$A$6:$A$16,0))="","",INDEX('Tổng hợp'!$D$6:$D$16,MATCH(E36,'Tổng hợp'!$A$6:$A$16,0))),""))</f>
        <v/>
      </c>
      <c r="O36" s="8" t="str">
        <f t="shared" si="1"/>
        <v/>
      </c>
    </row>
    <row r="37" spans="1:15">
      <c r="A37" s="8">
        <v>32</v>
      </c>
      <c r="B37" s="22"/>
      <c r="C37" s="10"/>
      <c r="D37" s="8" t="str">
        <f>IF(E37="","",IFERROR(INDEX('Tổng hợp'!$B$6:$B$16,MATCH(E37,'Tổng hợp'!$A$6:$A$16,0)),""))</f>
        <v/>
      </c>
      <c r="E37" s="10"/>
      <c r="F37" s="10"/>
      <c r="G37" s="10"/>
      <c r="H37" s="10"/>
      <c r="I37" s="10"/>
      <c r="J37" s="10"/>
      <c r="K37" s="10"/>
      <c r="L37" s="11"/>
      <c r="M37" s="23" t="str">
        <f t="shared" ref="M37:M68" si="2">IF(G37="","",IF(AND(ISNUMBER(H37),H37&gt;0),G37/H37,G37))</f>
        <v/>
      </c>
      <c r="N37" s="8" t="str">
        <f>IF(E37="","",IFERROR(IF(INDEX('Tổng hợp'!$D$6:$D$16,MATCH(E37,'Tổng hợp'!$A$6:$A$16,0))="","",INDEX('Tổng hợp'!$D$6:$D$16,MATCH(E37,'Tổng hợp'!$A$6:$A$16,0))),""))</f>
        <v/>
      </c>
      <c r="O37" s="8" t="str">
        <f t="shared" ref="O37:O68" si="3">IF(OR(M37="",N37=""),"",IF(AND(I37="Tự làm được",M37&lt;=N37),"Đạt","Chưa đạt"))</f>
        <v/>
      </c>
    </row>
    <row r="38" spans="1:15">
      <c r="A38" s="8">
        <v>33</v>
      </c>
      <c r="B38" s="22"/>
      <c r="C38" s="10"/>
      <c r="D38" s="8" t="str">
        <f>IF(E38="","",IFERROR(INDEX('Tổng hợp'!$B$6:$B$16,MATCH(E38,'Tổng hợp'!$A$6:$A$16,0)),""))</f>
        <v/>
      </c>
      <c r="E38" s="10"/>
      <c r="F38" s="10"/>
      <c r="G38" s="10"/>
      <c r="H38" s="10"/>
      <c r="I38" s="10"/>
      <c r="J38" s="10"/>
      <c r="K38" s="10"/>
      <c r="L38" s="11"/>
      <c r="M38" s="23" t="str">
        <f t="shared" si="2"/>
        <v/>
      </c>
      <c r="N38" s="8" t="str">
        <f>IF(E38="","",IFERROR(IF(INDEX('Tổng hợp'!$D$6:$D$16,MATCH(E38,'Tổng hợp'!$A$6:$A$16,0))="","",INDEX('Tổng hợp'!$D$6:$D$16,MATCH(E38,'Tổng hợp'!$A$6:$A$16,0))),""))</f>
        <v/>
      </c>
      <c r="O38" s="8" t="str">
        <f t="shared" si="3"/>
        <v/>
      </c>
    </row>
    <row r="39" spans="1:15">
      <c r="A39" s="8">
        <v>34</v>
      </c>
      <c r="B39" s="22"/>
      <c r="C39" s="10"/>
      <c r="D39" s="8" t="str">
        <f>IF(E39="","",IFERROR(INDEX('Tổng hợp'!$B$6:$B$16,MATCH(E39,'Tổng hợp'!$A$6:$A$16,0)),""))</f>
        <v/>
      </c>
      <c r="E39" s="10"/>
      <c r="F39" s="10"/>
      <c r="G39" s="10"/>
      <c r="H39" s="10"/>
      <c r="I39" s="10"/>
      <c r="J39" s="10"/>
      <c r="K39" s="10"/>
      <c r="L39" s="11"/>
      <c r="M39" s="23" t="str">
        <f t="shared" si="2"/>
        <v/>
      </c>
      <c r="N39" s="8" t="str">
        <f>IF(E39="","",IFERROR(IF(INDEX('Tổng hợp'!$D$6:$D$16,MATCH(E39,'Tổng hợp'!$A$6:$A$16,0))="","",INDEX('Tổng hợp'!$D$6:$D$16,MATCH(E39,'Tổng hợp'!$A$6:$A$16,0))),""))</f>
        <v/>
      </c>
      <c r="O39" s="8" t="str">
        <f t="shared" si="3"/>
        <v/>
      </c>
    </row>
    <row r="40" spans="1:15">
      <c r="A40" s="8">
        <v>35</v>
      </c>
      <c r="B40" s="22"/>
      <c r="C40" s="10"/>
      <c r="D40" s="8" t="str">
        <f>IF(E40="","",IFERROR(INDEX('Tổng hợp'!$B$6:$B$16,MATCH(E40,'Tổng hợp'!$A$6:$A$16,0)),""))</f>
        <v/>
      </c>
      <c r="E40" s="10"/>
      <c r="F40" s="10"/>
      <c r="G40" s="10"/>
      <c r="H40" s="10"/>
      <c r="I40" s="10"/>
      <c r="J40" s="10"/>
      <c r="K40" s="10"/>
      <c r="L40" s="11"/>
      <c r="M40" s="23" t="str">
        <f t="shared" si="2"/>
        <v/>
      </c>
      <c r="N40" s="8" t="str">
        <f>IF(E40="","",IFERROR(IF(INDEX('Tổng hợp'!$D$6:$D$16,MATCH(E40,'Tổng hợp'!$A$6:$A$16,0))="","",INDEX('Tổng hợp'!$D$6:$D$16,MATCH(E40,'Tổng hợp'!$A$6:$A$16,0))),""))</f>
        <v/>
      </c>
      <c r="O40" s="8" t="str">
        <f t="shared" si="3"/>
        <v/>
      </c>
    </row>
    <row r="41" spans="1:15">
      <c r="A41" s="8">
        <v>36</v>
      </c>
      <c r="B41" s="22"/>
      <c r="C41" s="10"/>
      <c r="D41" s="8" t="str">
        <f>IF(E41="","",IFERROR(INDEX('Tổng hợp'!$B$6:$B$16,MATCH(E41,'Tổng hợp'!$A$6:$A$16,0)),""))</f>
        <v/>
      </c>
      <c r="E41" s="10"/>
      <c r="F41" s="10"/>
      <c r="G41" s="10"/>
      <c r="H41" s="10"/>
      <c r="I41" s="10"/>
      <c r="J41" s="10"/>
      <c r="K41" s="10"/>
      <c r="L41" s="11"/>
      <c r="M41" s="23" t="str">
        <f t="shared" si="2"/>
        <v/>
      </c>
      <c r="N41" s="8" t="str">
        <f>IF(E41="","",IFERROR(IF(INDEX('Tổng hợp'!$D$6:$D$16,MATCH(E41,'Tổng hợp'!$A$6:$A$16,0))="","",INDEX('Tổng hợp'!$D$6:$D$16,MATCH(E41,'Tổng hợp'!$A$6:$A$16,0))),""))</f>
        <v/>
      </c>
      <c r="O41" s="8" t="str">
        <f t="shared" si="3"/>
        <v/>
      </c>
    </row>
    <row r="42" spans="1:15">
      <c r="A42" s="8">
        <v>37</v>
      </c>
      <c r="B42" s="22"/>
      <c r="C42" s="10"/>
      <c r="D42" s="8" t="str">
        <f>IF(E42="","",IFERROR(INDEX('Tổng hợp'!$B$6:$B$16,MATCH(E42,'Tổng hợp'!$A$6:$A$16,0)),""))</f>
        <v/>
      </c>
      <c r="E42" s="10"/>
      <c r="F42" s="10"/>
      <c r="G42" s="10"/>
      <c r="H42" s="10"/>
      <c r="I42" s="10"/>
      <c r="J42" s="10"/>
      <c r="K42" s="10"/>
      <c r="L42" s="11"/>
      <c r="M42" s="23" t="str">
        <f t="shared" si="2"/>
        <v/>
      </c>
      <c r="N42" s="8" t="str">
        <f>IF(E42="","",IFERROR(IF(INDEX('Tổng hợp'!$D$6:$D$16,MATCH(E42,'Tổng hợp'!$A$6:$A$16,0))="","",INDEX('Tổng hợp'!$D$6:$D$16,MATCH(E42,'Tổng hợp'!$A$6:$A$16,0))),""))</f>
        <v/>
      </c>
      <c r="O42" s="8" t="str">
        <f t="shared" si="3"/>
        <v/>
      </c>
    </row>
    <row r="43" spans="1:15">
      <c r="A43" s="8">
        <v>38</v>
      </c>
      <c r="B43" s="22"/>
      <c r="C43" s="10"/>
      <c r="D43" s="8" t="str">
        <f>IF(E43="","",IFERROR(INDEX('Tổng hợp'!$B$6:$B$16,MATCH(E43,'Tổng hợp'!$A$6:$A$16,0)),""))</f>
        <v/>
      </c>
      <c r="E43" s="10"/>
      <c r="F43" s="10"/>
      <c r="G43" s="10"/>
      <c r="H43" s="10"/>
      <c r="I43" s="10"/>
      <c r="J43" s="10"/>
      <c r="K43" s="10"/>
      <c r="L43" s="11"/>
      <c r="M43" s="23" t="str">
        <f t="shared" si="2"/>
        <v/>
      </c>
      <c r="N43" s="8" t="str">
        <f>IF(E43="","",IFERROR(IF(INDEX('Tổng hợp'!$D$6:$D$16,MATCH(E43,'Tổng hợp'!$A$6:$A$16,0))="","",INDEX('Tổng hợp'!$D$6:$D$16,MATCH(E43,'Tổng hợp'!$A$6:$A$16,0))),""))</f>
        <v/>
      </c>
      <c r="O43" s="8" t="str">
        <f t="shared" si="3"/>
        <v/>
      </c>
    </row>
    <row r="44" spans="1:15">
      <c r="A44" s="8">
        <v>39</v>
      </c>
      <c r="B44" s="22"/>
      <c r="C44" s="10"/>
      <c r="D44" s="8" t="str">
        <f>IF(E44="","",IFERROR(INDEX('Tổng hợp'!$B$6:$B$16,MATCH(E44,'Tổng hợp'!$A$6:$A$16,0)),""))</f>
        <v/>
      </c>
      <c r="E44" s="10"/>
      <c r="F44" s="10"/>
      <c r="G44" s="10"/>
      <c r="H44" s="10"/>
      <c r="I44" s="10"/>
      <c r="J44" s="10"/>
      <c r="K44" s="10"/>
      <c r="L44" s="11"/>
      <c r="M44" s="23" t="str">
        <f t="shared" si="2"/>
        <v/>
      </c>
      <c r="N44" s="8" t="str">
        <f>IF(E44="","",IFERROR(IF(INDEX('Tổng hợp'!$D$6:$D$16,MATCH(E44,'Tổng hợp'!$A$6:$A$16,0))="","",INDEX('Tổng hợp'!$D$6:$D$16,MATCH(E44,'Tổng hợp'!$A$6:$A$16,0))),""))</f>
        <v/>
      </c>
      <c r="O44" s="8" t="str">
        <f t="shared" si="3"/>
        <v/>
      </c>
    </row>
    <row r="45" spans="1:15">
      <c r="A45" s="8">
        <v>40</v>
      </c>
      <c r="B45" s="22"/>
      <c r="C45" s="10"/>
      <c r="D45" s="8" t="str">
        <f>IF(E45="","",IFERROR(INDEX('Tổng hợp'!$B$6:$B$16,MATCH(E45,'Tổng hợp'!$A$6:$A$16,0)),""))</f>
        <v/>
      </c>
      <c r="E45" s="10"/>
      <c r="F45" s="10"/>
      <c r="G45" s="10"/>
      <c r="H45" s="10"/>
      <c r="I45" s="10"/>
      <c r="J45" s="10"/>
      <c r="K45" s="10"/>
      <c r="L45" s="11"/>
      <c r="M45" s="23" t="str">
        <f t="shared" si="2"/>
        <v/>
      </c>
      <c r="N45" s="8" t="str">
        <f>IF(E45="","",IFERROR(IF(INDEX('Tổng hợp'!$D$6:$D$16,MATCH(E45,'Tổng hợp'!$A$6:$A$16,0))="","",INDEX('Tổng hợp'!$D$6:$D$16,MATCH(E45,'Tổng hợp'!$A$6:$A$16,0))),""))</f>
        <v/>
      </c>
      <c r="O45" s="8" t="str">
        <f t="shared" si="3"/>
        <v/>
      </c>
    </row>
    <row r="46" spans="1:15">
      <c r="A46" s="8">
        <v>41</v>
      </c>
      <c r="B46" s="22"/>
      <c r="C46" s="10"/>
      <c r="D46" s="8" t="str">
        <f>IF(E46="","",IFERROR(INDEX('Tổng hợp'!$B$6:$B$16,MATCH(E46,'Tổng hợp'!$A$6:$A$16,0)),""))</f>
        <v/>
      </c>
      <c r="E46" s="10"/>
      <c r="F46" s="10"/>
      <c r="G46" s="10"/>
      <c r="H46" s="10"/>
      <c r="I46" s="10"/>
      <c r="J46" s="10"/>
      <c r="K46" s="10"/>
      <c r="L46" s="11"/>
      <c r="M46" s="23" t="str">
        <f t="shared" si="2"/>
        <v/>
      </c>
      <c r="N46" s="8" t="str">
        <f>IF(E46="","",IFERROR(IF(INDEX('Tổng hợp'!$D$6:$D$16,MATCH(E46,'Tổng hợp'!$A$6:$A$16,0))="","",INDEX('Tổng hợp'!$D$6:$D$16,MATCH(E46,'Tổng hợp'!$A$6:$A$16,0))),""))</f>
        <v/>
      </c>
      <c r="O46" s="8" t="str">
        <f t="shared" si="3"/>
        <v/>
      </c>
    </row>
    <row r="47" spans="1:15">
      <c r="A47" s="8">
        <v>42</v>
      </c>
      <c r="B47" s="22"/>
      <c r="C47" s="10"/>
      <c r="D47" s="8" t="str">
        <f>IF(E47="","",IFERROR(INDEX('Tổng hợp'!$B$6:$B$16,MATCH(E47,'Tổng hợp'!$A$6:$A$16,0)),""))</f>
        <v/>
      </c>
      <c r="E47" s="10"/>
      <c r="F47" s="10"/>
      <c r="G47" s="10"/>
      <c r="H47" s="10"/>
      <c r="I47" s="10"/>
      <c r="J47" s="10"/>
      <c r="K47" s="10"/>
      <c r="L47" s="11"/>
      <c r="M47" s="23" t="str">
        <f t="shared" si="2"/>
        <v/>
      </c>
      <c r="N47" s="8" t="str">
        <f>IF(E47="","",IFERROR(IF(INDEX('Tổng hợp'!$D$6:$D$16,MATCH(E47,'Tổng hợp'!$A$6:$A$16,0))="","",INDEX('Tổng hợp'!$D$6:$D$16,MATCH(E47,'Tổng hợp'!$A$6:$A$16,0))),""))</f>
        <v/>
      </c>
      <c r="O47" s="8" t="str">
        <f t="shared" si="3"/>
        <v/>
      </c>
    </row>
    <row r="48" spans="1:15">
      <c r="A48" s="8">
        <v>43</v>
      </c>
      <c r="B48" s="22"/>
      <c r="C48" s="10"/>
      <c r="D48" s="8" t="str">
        <f>IF(E48="","",IFERROR(INDEX('Tổng hợp'!$B$6:$B$16,MATCH(E48,'Tổng hợp'!$A$6:$A$16,0)),""))</f>
        <v/>
      </c>
      <c r="E48" s="10"/>
      <c r="F48" s="10"/>
      <c r="G48" s="10"/>
      <c r="H48" s="10"/>
      <c r="I48" s="10"/>
      <c r="J48" s="10"/>
      <c r="K48" s="10"/>
      <c r="L48" s="11"/>
      <c r="M48" s="23" t="str">
        <f t="shared" si="2"/>
        <v/>
      </c>
      <c r="N48" s="8" t="str">
        <f>IF(E48="","",IFERROR(IF(INDEX('Tổng hợp'!$D$6:$D$16,MATCH(E48,'Tổng hợp'!$A$6:$A$16,0))="","",INDEX('Tổng hợp'!$D$6:$D$16,MATCH(E48,'Tổng hợp'!$A$6:$A$16,0))),""))</f>
        <v/>
      </c>
      <c r="O48" s="8" t="str">
        <f t="shared" si="3"/>
        <v/>
      </c>
    </row>
    <row r="49" spans="1:15">
      <c r="A49" s="8">
        <v>44</v>
      </c>
      <c r="B49" s="22"/>
      <c r="C49" s="10"/>
      <c r="D49" s="8" t="str">
        <f>IF(E49="","",IFERROR(INDEX('Tổng hợp'!$B$6:$B$16,MATCH(E49,'Tổng hợp'!$A$6:$A$16,0)),""))</f>
        <v/>
      </c>
      <c r="E49" s="10"/>
      <c r="F49" s="10"/>
      <c r="G49" s="10"/>
      <c r="H49" s="10"/>
      <c r="I49" s="10"/>
      <c r="J49" s="10"/>
      <c r="K49" s="10"/>
      <c r="L49" s="11"/>
      <c r="M49" s="23" t="str">
        <f t="shared" si="2"/>
        <v/>
      </c>
      <c r="N49" s="8" t="str">
        <f>IF(E49="","",IFERROR(IF(INDEX('Tổng hợp'!$D$6:$D$16,MATCH(E49,'Tổng hợp'!$A$6:$A$16,0))="","",INDEX('Tổng hợp'!$D$6:$D$16,MATCH(E49,'Tổng hợp'!$A$6:$A$16,0))),""))</f>
        <v/>
      </c>
      <c r="O49" s="8" t="str">
        <f t="shared" si="3"/>
        <v/>
      </c>
    </row>
    <row r="50" spans="1:15">
      <c r="A50" s="8">
        <v>45</v>
      </c>
      <c r="B50" s="22"/>
      <c r="C50" s="10"/>
      <c r="D50" s="8" t="str">
        <f>IF(E50="","",IFERROR(INDEX('Tổng hợp'!$B$6:$B$16,MATCH(E50,'Tổng hợp'!$A$6:$A$16,0)),""))</f>
        <v/>
      </c>
      <c r="E50" s="10"/>
      <c r="F50" s="10"/>
      <c r="G50" s="10"/>
      <c r="H50" s="10"/>
      <c r="I50" s="10"/>
      <c r="J50" s="10"/>
      <c r="K50" s="10"/>
      <c r="L50" s="11"/>
      <c r="M50" s="23" t="str">
        <f t="shared" si="2"/>
        <v/>
      </c>
      <c r="N50" s="8" t="str">
        <f>IF(E50="","",IFERROR(IF(INDEX('Tổng hợp'!$D$6:$D$16,MATCH(E50,'Tổng hợp'!$A$6:$A$16,0))="","",INDEX('Tổng hợp'!$D$6:$D$16,MATCH(E50,'Tổng hợp'!$A$6:$A$16,0))),""))</f>
        <v/>
      </c>
      <c r="O50" s="8" t="str">
        <f t="shared" si="3"/>
        <v/>
      </c>
    </row>
    <row r="51" spans="1:15">
      <c r="A51" s="8">
        <v>46</v>
      </c>
      <c r="B51" s="22"/>
      <c r="C51" s="10"/>
      <c r="D51" s="8" t="str">
        <f>IF(E51="","",IFERROR(INDEX('Tổng hợp'!$B$6:$B$16,MATCH(E51,'Tổng hợp'!$A$6:$A$16,0)),""))</f>
        <v/>
      </c>
      <c r="E51" s="10"/>
      <c r="F51" s="10"/>
      <c r="G51" s="10"/>
      <c r="H51" s="10"/>
      <c r="I51" s="10"/>
      <c r="J51" s="10"/>
      <c r="K51" s="10"/>
      <c r="L51" s="11"/>
      <c r="M51" s="23" t="str">
        <f t="shared" si="2"/>
        <v/>
      </c>
      <c r="N51" s="8" t="str">
        <f>IF(E51="","",IFERROR(IF(INDEX('Tổng hợp'!$D$6:$D$16,MATCH(E51,'Tổng hợp'!$A$6:$A$16,0))="","",INDEX('Tổng hợp'!$D$6:$D$16,MATCH(E51,'Tổng hợp'!$A$6:$A$16,0))),""))</f>
        <v/>
      </c>
      <c r="O51" s="8" t="str">
        <f t="shared" si="3"/>
        <v/>
      </c>
    </row>
    <row r="52" spans="1:15">
      <c r="A52" s="8">
        <v>47</v>
      </c>
      <c r="B52" s="22"/>
      <c r="C52" s="10"/>
      <c r="D52" s="8" t="str">
        <f>IF(E52="","",IFERROR(INDEX('Tổng hợp'!$B$6:$B$16,MATCH(E52,'Tổng hợp'!$A$6:$A$16,0)),""))</f>
        <v/>
      </c>
      <c r="E52" s="10"/>
      <c r="F52" s="10"/>
      <c r="G52" s="10"/>
      <c r="H52" s="10"/>
      <c r="I52" s="10"/>
      <c r="J52" s="10"/>
      <c r="K52" s="10"/>
      <c r="L52" s="11"/>
      <c r="M52" s="23" t="str">
        <f t="shared" si="2"/>
        <v/>
      </c>
      <c r="N52" s="8" t="str">
        <f>IF(E52="","",IFERROR(IF(INDEX('Tổng hợp'!$D$6:$D$16,MATCH(E52,'Tổng hợp'!$A$6:$A$16,0))="","",INDEX('Tổng hợp'!$D$6:$D$16,MATCH(E52,'Tổng hợp'!$A$6:$A$16,0))),""))</f>
        <v/>
      </c>
      <c r="O52" s="8" t="str">
        <f t="shared" si="3"/>
        <v/>
      </c>
    </row>
    <row r="53" spans="1:15">
      <c r="A53" s="8">
        <v>48</v>
      </c>
      <c r="B53" s="22"/>
      <c r="C53" s="10"/>
      <c r="D53" s="8" t="str">
        <f>IF(E53="","",IFERROR(INDEX('Tổng hợp'!$B$6:$B$16,MATCH(E53,'Tổng hợp'!$A$6:$A$16,0)),""))</f>
        <v/>
      </c>
      <c r="E53" s="10"/>
      <c r="F53" s="10"/>
      <c r="G53" s="10"/>
      <c r="H53" s="10"/>
      <c r="I53" s="10"/>
      <c r="J53" s="10"/>
      <c r="K53" s="10"/>
      <c r="L53" s="11"/>
      <c r="M53" s="23" t="str">
        <f t="shared" si="2"/>
        <v/>
      </c>
      <c r="N53" s="8" t="str">
        <f>IF(E53="","",IFERROR(IF(INDEX('Tổng hợp'!$D$6:$D$16,MATCH(E53,'Tổng hợp'!$A$6:$A$16,0))="","",INDEX('Tổng hợp'!$D$6:$D$16,MATCH(E53,'Tổng hợp'!$A$6:$A$16,0))),""))</f>
        <v/>
      </c>
      <c r="O53" s="8" t="str">
        <f t="shared" si="3"/>
        <v/>
      </c>
    </row>
    <row r="54" spans="1:15">
      <c r="A54" s="8">
        <v>49</v>
      </c>
      <c r="B54" s="22"/>
      <c r="C54" s="10"/>
      <c r="D54" s="8" t="str">
        <f>IF(E54="","",IFERROR(INDEX('Tổng hợp'!$B$6:$B$16,MATCH(E54,'Tổng hợp'!$A$6:$A$16,0)),""))</f>
        <v/>
      </c>
      <c r="E54" s="10"/>
      <c r="F54" s="10"/>
      <c r="G54" s="10"/>
      <c r="H54" s="10"/>
      <c r="I54" s="10"/>
      <c r="J54" s="10"/>
      <c r="K54" s="10"/>
      <c r="L54" s="11"/>
      <c r="M54" s="23" t="str">
        <f t="shared" si="2"/>
        <v/>
      </c>
      <c r="N54" s="8" t="str">
        <f>IF(E54="","",IFERROR(IF(INDEX('Tổng hợp'!$D$6:$D$16,MATCH(E54,'Tổng hợp'!$A$6:$A$16,0))="","",INDEX('Tổng hợp'!$D$6:$D$16,MATCH(E54,'Tổng hợp'!$A$6:$A$16,0))),""))</f>
        <v/>
      </c>
      <c r="O54" s="8" t="str">
        <f t="shared" si="3"/>
        <v/>
      </c>
    </row>
    <row r="55" spans="1:15">
      <c r="A55" s="8">
        <v>50</v>
      </c>
      <c r="B55" s="22"/>
      <c r="C55" s="10"/>
      <c r="D55" s="8" t="str">
        <f>IF(E55="","",IFERROR(INDEX('Tổng hợp'!$B$6:$B$16,MATCH(E55,'Tổng hợp'!$A$6:$A$16,0)),""))</f>
        <v/>
      </c>
      <c r="E55" s="10"/>
      <c r="F55" s="10"/>
      <c r="G55" s="10"/>
      <c r="H55" s="10"/>
      <c r="I55" s="10"/>
      <c r="J55" s="10"/>
      <c r="K55" s="10"/>
      <c r="L55" s="11"/>
      <c r="M55" s="23" t="str">
        <f t="shared" si="2"/>
        <v/>
      </c>
      <c r="N55" s="8" t="str">
        <f>IF(E55="","",IFERROR(IF(INDEX('Tổng hợp'!$D$6:$D$16,MATCH(E55,'Tổng hợp'!$A$6:$A$16,0))="","",INDEX('Tổng hợp'!$D$6:$D$16,MATCH(E55,'Tổng hợp'!$A$6:$A$16,0))),""))</f>
        <v/>
      </c>
      <c r="O55" s="8" t="str">
        <f t="shared" si="3"/>
        <v/>
      </c>
    </row>
    <row r="56" spans="1:15">
      <c r="A56" s="8">
        <v>51</v>
      </c>
      <c r="B56" s="22"/>
      <c r="C56" s="10"/>
      <c r="D56" s="8" t="str">
        <f>IF(E56="","",IFERROR(INDEX('Tổng hợp'!$B$6:$B$16,MATCH(E56,'Tổng hợp'!$A$6:$A$16,0)),""))</f>
        <v/>
      </c>
      <c r="E56" s="10"/>
      <c r="F56" s="10"/>
      <c r="G56" s="10"/>
      <c r="H56" s="10"/>
      <c r="I56" s="10"/>
      <c r="J56" s="10"/>
      <c r="K56" s="10"/>
      <c r="L56" s="11"/>
      <c r="M56" s="23" t="str">
        <f t="shared" si="2"/>
        <v/>
      </c>
      <c r="N56" s="8" t="str">
        <f>IF(E56="","",IFERROR(IF(INDEX('Tổng hợp'!$D$6:$D$16,MATCH(E56,'Tổng hợp'!$A$6:$A$16,0))="","",INDEX('Tổng hợp'!$D$6:$D$16,MATCH(E56,'Tổng hợp'!$A$6:$A$16,0))),""))</f>
        <v/>
      </c>
      <c r="O56" s="8" t="str">
        <f t="shared" si="3"/>
        <v/>
      </c>
    </row>
    <row r="57" spans="1:15">
      <c r="A57" s="8">
        <v>52</v>
      </c>
      <c r="B57" s="22"/>
      <c r="C57" s="10"/>
      <c r="D57" s="8" t="str">
        <f>IF(E57="","",IFERROR(INDEX('Tổng hợp'!$B$6:$B$16,MATCH(E57,'Tổng hợp'!$A$6:$A$16,0)),""))</f>
        <v/>
      </c>
      <c r="E57" s="10"/>
      <c r="F57" s="10"/>
      <c r="G57" s="10"/>
      <c r="H57" s="10"/>
      <c r="I57" s="10"/>
      <c r="J57" s="10"/>
      <c r="K57" s="10"/>
      <c r="L57" s="11"/>
      <c r="M57" s="23" t="str">
        <f t="shared" si="2"/>
        <v/>
      </c>
      <c r="N57" s="8" t="str">
        <f>IF(E57="","",IFERROR(IF(INDEX('Tổng hợp'!$D$6:$D$16,MATCH(E57,'Tổng hợp'!$A$6:$A$16,0))="","",INDEX('Tổng hợp'!$D$6:$D$16,MATCH(E57,'Tổng hợp'!$A$6:$A$16,0))),""))</f>
        <v/>
      </c>
      <c r="O57" s="8" t="str">
        <f t="shared" si="3"/>
        <v/>
      </c>
    </row>
    <row r="58" spans="1:15">
      <c r="A58" s="8">
        <v>53</v>
      </c>
      <c r="B58" s="22"/>
      <c r="C58" s="10"/>
      <c r="D58" s="8" t="str">
        <f>IF(E58="","",IFERROR(INDEX('Tổng hợp'!$B$6:$B$16,MATCH(E58,'Tổng hợp'!$A$6:$A$16,0)),""))</f>
        <v/>
      </c>
      <c r="E58" s="10"/>
      <c r="F58" s="10"/>
      <c r="G58" s="10"/>
      <c r="H58" s="10"/>
      <c r="I58" s="10"/>
      <c r="J58" s="10"/>
      <c r="K58" s="10"/>
      <c r="L58" s="11"/>
      <c r="M58" s="23" t="str">
        <f t="shared" si="2"/>
        <v/>
      </c>
      <c r="N58" s="8" t="str">
        <f>IF(E58="","",IFERROR(IF(INDEX('Tổng hợp'!$D$6:$D$16,MATCH(E58,'Tổng hợp'!$A$6:$A$16,0))="","",INDEX('Tổng hợp'!$D$6:$D$16,MATCH(E58,'Tổng hợp'!$A$6:$A$16,0))),""))</f>
        <v/>
      </c>
      <c r="O58" s="8" t="str">
        <f t="shared" si="3"/>
        <v/>
      </c>
    </row>
    <row r="59" spans="1:15">
      <c r="A59" s="8">
        <v>54</v>
      </c>
      <c r="B59" s="22"/>
      <c r="C59" s="10"/>
      <c r="D59" s="8" t="str">
        <f>IF(E59="","",IFERROR(INDEX('Tổng hợp'!$B$6:$B$16,MATCH(E59,'Tổng hợp'!$A$6:$A$16,0)),""))</f>
        <v/>
      </c>
      <c r="E59" s="10"/>
      <c r="F59" s="10"/>
      <c r="G59" s="10"/>
      <c r="H59" s="10"/>
      <c r="I59" s="10"/>
      <c r="J59" s="10"/>
      <c r="K59" s="10"/>
      <c r="L59" s="11"/>
      <c r="M59" s="23" t="str">
        <f t="shared" si="2"/>
        <v/>
      </c>
      <c r="N59" s="8" t="str">
        <f>IF(E59="","",IFERROR(IF(INDEX('Tổng hợp'!$D$6:$D$16,MATCH(E59,'Tổng hợp'!$A$6:$A$16,0))="","",INDEX('Tổng hợp'!$D$6:$D$16,MATCH(E59,'Tổng hợp'!$A$6:$A$16,0))),""))</f>
        <v/>
      </c>
      <c r="O59" s="8" t="str">
        <f t="shared" si="3"/>
        <v/>
      </c>
    </row>
    <row r="60" spans="1:15">
      <c r="A60" s="8">
        <v>55</v>
      </c>
      <c r="B60" s="22"/>
      <c r="C60" s="10"/>
      <c r="D60" s="8" t="str">
        <f>IF(E60="","",IFERROR(INDEX('Tổng hợp'!$B$6:$B$16,MATCH(E60,'Tổng hợp'!$A$6:$A$16,0)),""))</f>
        <v/>
      </c>
      <c r="E60" s="10"/>
      <c r="F60" s="10"/>
      <c r="G60" s="10"/>
      <c r="H60" s="10"/>
      <c r="I60" s="10"/>
      <c r="J60" s="10"/>
      <c r="K60" s="10"/>
      <c r="L60" s="11"/>
      <c r="M60" s="23" t="str">
        <f t="shared" si="2"/>
        <v/>
      </c>
      <c r="N60" s="8" t="str">
        <f>IF(E60="","",IFERROR(IF(INDEX('Tổng hợp'!$D$6:$D$16,MATCH(E60,'Tổng hợp'!$A$6:$A$16,0))="","",INDEX('Tổng hợp'!$D$6:$D$16,MATCH(E60,'Tổng hợp'!$A$6:$A$16,0))),""))</f>
        <v/>
      </c>
      <c r="O60" s="8" t="str">
        <f t="shared" si="3"/>
        <v/>
      </c>
    </row>
    <row r="61" spans="1:15">
      <c r="A61" s="8">
        <v>56</v>
      </c>
      <c r="B61" s="22"/>
      <c r="C61" s="10"/>
      <c r="D61" s="8" t="str">
        <f>IF(E61="","",IFERROR(INDEX('Tổng hợp'!$B$6:$B$16,MATCH(E61,'Tổng hợp'!$A$6:$A$16,0)),""))</f>
        <v/>
      </c>
      <c r="E61" s="10"/>
      <c r="F61" s="10"/>
      <c r="G61" s="10"/>
      <c r="H61" s="10"/>
      <c r="I61" s="10"/>
      <c r="J61" s="10"/>
      <c r="K61" s="10"/>
      <c r="L61" s="11"/>
      <c r="M61" s="23" t="str">
        <f t="shared" si="2"/>
        <v/>
      </c>
      <c r="N61" s="8" t="str">
        <f>IF(E61="","",IFERROR(IF(INDEX('Tổng hợp'!$D$6:$D$16,MATCH(E61,'Tổng hợp'!$A$6:$A$16,0))="","",INDEX('Tổng hợp'!$D$6:$D$16,MATCH(E61,'Tổng hợp'!$A$6:$A$16,0))),""))</f>
        <v/>
      </c>
      <c r="O61" s="8" t="str">
        <f t="shared" si="3"/>
        <v/>
      </c>
    </row>
    <row r="62" spans="1:15">
      <c r="A62" s="8">
        <v>57</v>
      </c>
      <c r="B62" s="22"/>
      <c r="C62" s="10"/>
      <c r="D62" s="8" t="str">
        <f>IF(E62="","",IFERROR(INDEX('Tổng hợp'!$B$6:$B$16,MATCH(E62,'Tổng hợp'!$A$6:$A$16,0)),""))</f>
        <v/>
      </c>
      <c r="E62" s="10"/>
      <c r="F62" s="10"/>
      <c r="G62" s="10"/>
      <c r="H62" s="10"/>
      <c r="I62" s="10"/>
      <c r="J62" s="10"/>
      <c r="K62" s="10"/>
      <c r="L62" s="11"/>
      <c r="M62" s="23" t="str">
        <f t="shared" si="2"/>
        <v/>
      </c>
      <c r="N62" s="8" t="str">
        <f>IF(E62="","",IFERROR(IF(INDEX('Tổng hợp'!$D$6:$D$16,MATCH(E62,'Tổng hợp'!$A$6:$A$16,0))="","",INDEX('Tổng hợp'!$D$6:$D$16,MATCH(E62,'Tổng hợp'!$A$6:$A$16,0))),""))</f>
        <v/>
      </c>
      <c r="O62" s="8" t="str">
        <f t="shared" si="3"/>
        <v/>
      </c>
    </row>
    <row r="63" spans="1:15">
      <c r="A63" s="8">
        <v>58</v>
      </c>
      <c r="B63" s="22"/>
      <c r="C63" s="10"/>
      <c r="D63" s="8" t="str">
        <f>IF(E63="","",IFERROR(INDEX('Tổng hợp'!$B$6:$B$16,MATCH(E63,'Tổng hợp'!$A$6:$A$16,0)),""))</f>
        <v/>
      </c>
      <c r="E63" s="10"/>
      <c r="F63" s="10"/>
      <c r="G63" s="10"/>
      <c r="H63" s="10"/>
      <c r="I63" s="10"/>
      <c r="J63" s="10"/>
      <c r="K63" s="10"/>
      <c r="L63" s="11"/>
      <c r="M63" s="23" t="str">
        <f t="shared" si="2"/>
        <v/>
      </c>
      <c r="N63" s="8" t="str">
        <f>IF(E63="","",IFERROR(IF(INDEX('Tổng hợp'!$D$6:$D$16,MATCH(E63,'Tổng hợp'!$A$6:$A$16,0))="","",INDEX('Tổng hợp'!$D$6:$D$16,MATCH(E63,'Tổng hợp'!$A$6:$A$16,0))),""))</f>
        <v/>
      </c>
      <c r="O63" s="8" t="str">
        <f t="shared" si="3"/>
        <v/>
      </c>
    </row>
    <row r="64" spans="1:15">
      <c r="A64" s="8">
        <v>59</v>
      </c>
      <c r="B64" s="22"/>
      <c r="C64" s="10"/>
      <c r="D64" s="8" t="str">
        <f>IF(E64="","",IFERROR(INDEX('Tổng hợp'!$B$6:$B$16,MATCH(E64,'Tổng hợp'!$A$6:$A$16,0)),""))</f>
        <v/>
      </c>
      <c r="E64" s="10"/>
      <c r="F64" s="10"/>
      <c r="G64" s="10"/>
      <c r="H64" s="10"/>
      <c r="I64" s="10"/>
      <c r="J64" s="10"/>
      <c r="K64" s="10"/>
      <c r="L64" s="11"/>
      <c r="M64" s="23" t="str">
        <f t="shared" si="2"/>
        <v/>
      </c>
      <c r="N64" s="8" t="str">
        <f>IF(E64="","",IFERROR(IF(INDEX('Tổng hợp'!$D$6:$D$16,MATCH(E64,'Tổng hợp'!$A$6:$A$16,0))="","",INDEX('Tổng hợp'!$D$6:$D$16,MATCH(E64,'Tổng hợp'!$A$6:$A$16,0))),""))</f>
        <v/>
      </c>
      <c r="O64" s="8" t="str">
        <f t="shared" si="3"/>
        <v/>
      </c>
    </row>
    <row r="65" spans="1:15">
      <c r="A65" s="8">
        <v>60</v>
      </c>
      <c r="B65" s="22"/>
      <c r="C65" s="10"/>
      <c r="D65" s="8" t="str">
        <f>IF(E65="","",IFERROR(INDEX('Tổng hợp'!$B$6:$B$16,MATCH(E65,'Tổng hợp'!$A$6:$A$16,0)),""))</f>
        <v/>
      </c>
      <c r="E65" s="10"/>
      <c r="F65" s="10"/>
      <c r="G65" s="10"/>
      <c r="H65" s="10"/>
      <c r="I65" s="10"/>
      <c r="J65" s="10"/>
      <c r="K65" s="10"/>
      <c r="L65" s="11"/>
      <c r="M65" s="23" t="str">
        <f t="shared" si="2"/>
        <v/>
      </c>
      <c r="N65" s="8" t="str">
        <f>IF(E65="","",IFERROR(IF(INDEX('Tổng hợp'!$D$6:$D$16,MATCH(E65,'Tổng hợp'!$A$6:$A$16,0))="","",INDEX('Tổng hợp'!$D$6:$D$16,MATCH(E65,'Tổng hợp'!$A$6:$A$16,0))),""))</f>
        <v/>
      </c>
      <c r="O65" s="8" t="str">
        <f t="shared" si="3"/>
        <v/>
      </c>
    </row>
    <row r="66" spans="1:15">
      <c r="A66" s="8">
        <v>61</v>
      </c>
      <c r="B66" s="22"/>
      <c r="C66" s="10"/>
      <c r="D66" s="8" t="str">
        <f>IF(E66="","",IFERROR(INDEX('Tổng hợp'!$B$6:$B$16,MATCH(E66,'Tổng hợp'!$A$6:$A$16,0)),""))</f>
        <v/>
      </c>
      <c r="E66" s="10"/>
      <c r="F66" s="10"/>
      <c r="G66" s="10"/>
      <c r="H66" s="10"/>
      <c r="I66" s="10"/>
      <c r="J66" s="10"/>
      <c r="K66" s="10"/>
      <c r="L66" s="11"/>
      <c r="M66" s="23" t="str">
        <f t="shared" si="2"/>
        <v/>
      </c>
      <c r="N66" s="8" t="str">
        <f>IF(E66="","",IFERROR(IF(INDEX('Tổng hợp'!$D$6:$D$16,MATCH(E66,'Tổng hợp'!$A$6:$A$16,0))="","",INDEX('Tổng hợp'!$D$6:$D$16,MATCH(E66,'Tổng hợp'!$A$6:$A$16,0))),""))</f>
        <v/>
      </c>
      <c r="O66" s="8" t="str">
        <f t="shared" si="3"/>
        <v/>
      </c>
    </row>
    <row r="67" spans="1:15">
      <c r="A67" s="8">
        <v>62</v>
      </c>
      <c r="B67" s="22"/>
      <c r="C67" s="10"/>
      <c r="D67" s="8" t="str">
        <f>IF(E67="","",IFERROR(INDEX('Tổng hợp'!$B$6:$B$16,MATCH(E67,'Tổng hợp'!$A$6:$A$16,0)),""))</f>
        <v/>
      </c>
      <c r="E67" s="10"/>
      <c r="F67" s="10"/>
      <c r="G67" s="10"/>
      <c r="H67" s="10"/>
      <c r="I67" s="10"/>
      <c r="J67" s="10"/>
      <c r="K67" s="10"/>
      <c r="L67" s="11"/>
      <c r="M67" s="23" t="str">
        <f t="shared" si="2"/>
        <v/>
      </c>
      <c r="N67" s="8" t="str">
        <f>IF(E67="","",IFERROR(IF(INDEX('Tổng hợp'!$D$6:$D$16,MATCH(E67,'Tổng hợp'!$A$6:$A$16,0))="","",INDEX('Tổng hợp'!$D$6:$D$16,MATCH(E67,'Tổng hợp'!$A$6:$A$16,0))),""))</f>
        <v/>
      </c>
      <c r="O67" s="8" t="str">
        <f t="shared" si="3"/>
        <v/>
      </c>
    </row>
    <row r="68" spans="1:15">
      <c r="A68" s="8">
        <v>63</v>
      </c>
      <c r="B68" s="22"/>
      <c r="C68" s="10"/>
      <c r="D68" s="8" t="str">
        <f>IF(E68="","",IFERROR(INDEX('Tổng hợp'!$B$6:$B$16,MATCH(E68,'Tổng hợp'!$A$6:$A$16,0)),""))</f>
        <v/>
      </c>
      <c r="E68" s="10"/>
      <c r="F68" s="10"/>
      <c r="G68" s="10"/>
      <c r="H68" s="10"/>
      <c r="I68" s="10"/>
      <c r="J68" s="10"/>
      <c r="K68" s="10"/>
      <c r="L68" s="11"/>
      <c r="M68" s="23" t="str">
        <f t="shared" si="2"/>
        <v/>
      </c>
      <c r="N68" s="8" t="str">
        <f>IF(E68="","",IFERROR(IF(INDEX('Tổng hợp'!$D$6:$D$16,MATCH(E68,'Tổng hợp'!$A$6:$A$16,0))="","",INDEX('Tổng hợp'!$D$6:$D$16,MATCH(E68,'Tổng hợp'!$A$6:$A$16,0))),""))</f>
        <v/>
      </c>
      <c r="O68" s="8" t="str">
        <f t="shared" si="3"/>
        <v/>
      </c>
    </row>
    <row r="69" spans="1:15">
      <c r="A69" s="8">
        <v>64</v>
      </c>
      <c r="B69" s="22"/>
      <c r="C69" s="10"/>
      <c r="D69" s="8" t="str">
        <f>IF(E69="","",IFERROR(INDEX('Tổng hợp'!$B$6:$B$16,MATCH(E69,'Tổng hợp'!$A$6:$A$16,0)),""))</f>
        <v/>
      </c>
      <c r="E69" s="10"/>
      <c r="F69" s="10"/>
      <c r="G69" s="10"/>
      <c r="H69" s="10"/>
      <c r="I69" s="10"/>
      <c r="J69" s="10"/>
      <c r="K69" s="10"/>
      <c r="L69" s="11"/>
      <c r="M69" s="23" t="str">
        <f t="shared" ref="M69:M105" si="4">IF(G69="","",IF(AND(ISNUMBER(H69),H69&gt;0),G69/H69,G69))</f>
        <v/>
      </c>
      <c r="N69" s="8" t="str">
        <f>IF(E69="","",IFERROR(IF(INDEX('Tổng hợp'!$D$6:$D$16,MATCH(E69,'Tổng hợp'!$A$6:$A$16,0))="","",INDEX('Tổng hợp'!$D$6:$D$16,MATCH(E69,'Tổng hợp'!$A$6:$A$16,0))),""))</f>
        <v/>
      </c>
      <c r="O69" s="8" t="str">
        <f t="shared" ref="O69:O100" si="5">IF(OR(M69="",N69=""),"",IF(AND(I69="Tự làm được",M69&lt;=N69),"Đạt","Chưa đạt"))</f>
        <v/>
      </c>
    </row>
    <row r="70" spans="1:15">
      <c r="A70" s="8">
        <v>65</v>
      </c>
      <c r="B70" s="22"/>
      <c r="C70" s="10"/>
      <c r="D70" s="8" t="str">
        <f>IF(E70="","",IFERROR(INDEX('Tổng hợp'!$B$6:$B$16,MATCH(E70,'Tổng hợp'!$A$6:$A$16,0)),""))</f>
        <v/>
      </c>
      <c r="E70" s="10"/>
      <c r="F70" s="10"/>
      <c r="G70" s="10"/>
      <c r="H70" s="10"/>
      <c r="I70" s="10"/>
      <c r="J70" s="10"/>
      <c r="K70" s="10"/>
      <c r="L70" s="11"/>
      <c r="M70" s="23" t="str">
        <f t="shared" si="4"/>
        <v/>
      </c>
      <c r="N70" s="8" t="str">
        <f>IF(E70="","",IFERROR(IF(INDEX('Tổng hợp'!$D$6:$D$16,MATCH(E70,'Tổng hợp'!$A$6:$A$16,0))="","",INDEX('Tổng hợp'!$D$6:$D$16,MATCH(E70,'Tổng hợp'!$A$6:$A$16,0))),""))</f>
        <v/>
      </c>
      <c r="O70" s="8" t="str">
        <f t="shared" si="5"/>
        <v/>
      </c>
    </row>
    <row r="71" spans="1:15">
      <c r="A71" s="8">
        <v>66</v>
      </c>
      <c r="B71" s="22"/>
      <c r="C71" s="10"/>
      <c r="D71" s="8" t="str">
        <f>IF(E71="","",IFERROR(INDEX('Tổng hợp'!$B$6:$B$16,MATCH(E71,'Tổng hợp'!$A$6:$A$16,0)),""))</f>
        <v/>
      </c>
      <c r="E71" s="10"/>
      <c r="F71" s="10"/>
      <c r="G71" s="10"/>
      <c r="H71" s="10"/>
      <c r="I71" s="10"/>
      <c r="J71" s="10"/>
      <c r="K71" s="10"/>
      <c r="L71" s="11"/>
      <c r="M71" s="23" t="str">
        <f t="shared" si="4"/>
        <v/>
      </c>
      <c r="N71" s="8" t="str">
        <f>IF(E71="","",IFERROR(IF(INDEX('Tổng hợp'!$D$6:$D$16,MATCH(E71,'Tổng hợp'!$A$6:$A$16,0))="","",INDEX('Tổng hợp'!$D$6:$D$16,MATCH(E71,'Tổng hợp'!$A$6:$A$16,0))),""))</f>
        <v/>
      </c>
      <c r="O71" s="8" t="str">
        <f t="shared" si="5"/>
        <v/>
      </c>
    </row>
    <row r="72" spans="1:15">
      <c r="A72" s="8">
        <v>67</v>
      </c>
      <c r="B72" s="22"/>
      <c r="C72" s="10"/>
      <c r="D72" s="8" t="str">
        <f>IF(E72="","",IFERROR(INDEX('Tổng hợp'!$B$6:$B$16,MATCH(E72,'Tổng hợp'!$A$6:$A$16,0)),""))</f>
        <v/>
      </c>
      <c r="E72" s="10"/>
      <c r="F72" s="10"/>
      <c r="G72" s="10"/>
      <c r="H72" s="10"/>
      <c r="I72" s="10"/>
      <c r="J72" s="10"/>
      <c r="K72" s="10"/>
      <c r="L72" s="11"/>
      <c r="M72" s="23" t="str">
        <f t="shared" si="4"/>
        <v/>
      </c>
      <c r="N72" s="8" t="str">
        <f>IF(E72="","",IFERROR(IF(INDEX('Tổng hợp'!$D$6:$D$16,MATCH(E72,'Tổng hợp'!$A$6:$A$16,0))="","",INDEX('Tổng hợp'!$D$6:$D$16,MATCH(E72,'Tổng hợp'!$A$6:$A$16,0))),""))</f>
        <v/>
      </c>
      <c r="O72" s="8" t="str">
        <f t="shared" si="5"/>
        <v/>
      </c>
    </row>
    <row r="73" spans="1:15">
      <c r="A73" s="8">
        <v>68</v>
      </c>
      <c r="B73" s="22"/>
      <c r="C73" s="10"/>
      <c r="D73" s="8" t="str">
        <f>IF(E73="","",IFERROR(INDEX('Tổng hợp'!$B$6:$B$16,MATCH(E73,'Tổng hợp'!$A$6:$A$16,0)),""))</f>
        <v/>
      </c>
      <c r="E73" s="10"/>
      <c r="F73" s="10"/>
      <c r="G73" s="10"/>
      <c r="H73" s="10"/>
      <c r="I73" s="10"/>
      <c r="J73" s="10"/>
      <c r="K73" s="10"/>
      <c r="L73" s="11"/>
      <c r="M73" s="23" t="str">
        <f t="shared" si="4"/>
        <v/>
      </c>
      <c r="N73" s="8" t="str">
        <f>IF(E73="","",IFERROR(IF(INDEX('Tổng hợp'!$D$6:$D$16,MATCH(E73,'Tổng hợp'!$A$6:$A$16,0))="","",INDEX('Tổng hợp'!$D$6:$D$16,MATCH(E73,'Tổng hợp'!$A$6:$A$16,0))),""))</f>
        <v/>
      </c>
      <c r="O73" s="8" t="str">
        <f t="shared" si="5"/>
        <v/>
      </c>
    </row>
    <row r="74" spans="1:15">
      <c r="A74" s="8">
        <v>69</v>
      </c>
      <c r="B74" s="22"/>
      <c r="C74" s="10"/>
      <c r="D74" s="8" t="str">
        <f>IF(E74="","",IFERROR(INDEX('Tổng hợp'!$B$6:$B$16,MATCH(E74,'Tổng hợp'!$A$6:$A$16,0)),""))</f>
        <v/>
      </c>
      <c r="E74" s="10"/>
      <c r="F74" s="10"/>
      <c r="G74" s="10"/>
      <c r="H74" s="10"/>
      <c r="I74" s="10"/>
      <c r="J74" s="10"/>
      <c r="K74" s="10"/>
      <c r="L74" s="11"/>
      <c r="M74" s="23" t="str">
        <f t="shared" si="4"/>
        <v/>
      </c>
      <c r="N74" s="8" t="str">
        <f>IF(E74="","",IFERROR(IF(INDEX('Tổng hợp'!$D$6:$D$16,MATCH(E74,'Tổng hợp'!$A$6:$A$16,0))="","",INDEX('Tổng hợp'!$D$6:$D$16,MATCH(E74,'Tổng hợp'!$A$6:$A$16,0))),""))</f>
        <v/>
      </c>
      <c r="O74" s="8" t="str">
        <f t="shared" si="5"/>
        <v/>
      </c>
    </row>
    <row r="75" spans="1:15">
      <c r="A75" s="8">
        <v>70</v>
      </c>
      <c r="B75" s="22"/>
      <c r="C75" s="10"/>
      <c r="D75" s="8" t="str">
        <f>IF(E75="","",IFERROR(INDEX('Tổng hợp'!$B$6:$B$16,MATCH(E75,'Tổng hợp'!$A$6:$A$16,0)),""))</f>
        <v/>
      </c>
      <c r="E75" s="10"/>
      <c r="F75" s="10"/>
      <c r="G75" s="10"/>
      <c r="H75" s="10"/>
      <c r="I75" s="10"/>
      <c r="J75" s="10"/>
      <c r="K75" s="10"/>
      <c r="L75" s="11"/>
      <c r="M75" s="23" t="str">
        <f t="shared" si="4"/>
        <v/>
      </c>
      <c r="N75" s="8" t="str">
        <f>IF(E75="","",IFERROR(IF(INDEX('Tổng hợp'!$D$6:$D$16,MATCH(E75,'Tổng hợp'!$A$6:$A$16,0))="","",INDEX('Tổng hợp'!$D$6:$D$16,MATCH(E75,'Tổng hợp'!$A$6:$A$16,0))),""))</f>
        <v/>
      </c>
      <c r="O75" s="8" t="str">
        <f t="shared" si="5"/>
        <v/>
      </c>
    </row>
    <row r="76" spans="1:15">
      <c r="A76" s="8">
        <v>71</v>
      </c>
      <c r="B76" s="22"/>
      <c r="C76" s="10"/>
      <c r="D76" s="8" t="str">
        <f>IF(E76="","",IFERROR(INDEX('Tổng hợp'!$B$6:$B$16,MATCH(E76,'Tổng hợp'!$A$6:$A$16,0)),""))</f>
        <v/>
      </c>
      <c r="E76" s="10"/>
      <c r="F76" s="10"/>
      <c r="G76" s="10"/>
      <c r="H76" s="10"/>
      <c r="I76" s="10"/>
      <c r="J76" s="10"/>
      <c r="K76" s="10"/>
      <c r="L76" s="11"/>
      <c r="M76" s="23" t="str">
        <f t="shared" si="4"/>
        <v/>
      </c>
      <c r="N76" s="8" t="str">
        <f>IF(E76="","",IFERROR(IF(INDEX('Tổng hợp'!$D$6:$D$16,MATCH(E76,'Tổng hợp'!$A$6:$A$16,0))="","",INDEX('Tổng hợp'!$D$6:$D$16,MATCH(E76,'Tổng hợp'!$A$6:$A$16,0))),""))</f>
        <v/>
      </c>
      <c r="O76" s="8" t="str">
        <f t="shared" si="5"/>
        <v/>
      </c>
    </row>
    <row r="77" spans="1:15">
      <c r="A77" s="8">
        <v>72</v>
      </c>
      <c r="B77" s="22"/>
      <c r="C77" s="10"/>
      <c r="D77" s="8" t="str">
        <f>IF(E77="","",IFERROR(INDEX('Tổng hợp'!$B$6:$B$16,MATCH(E77,'Tổng hợp'!$A$6:$A$16,0)),""))</f>
        <v/>
      </c>
      <c r="E77" s="10"/>
      <c r="F77" s="10"/>
      <c r="G77" s="10"/>
      <c r="H77" s="10"/>
      <c r="I77" s="10"/>
      <c r="J77" s="10"/>
      <c r="K77" s="10"/>
      <c r="L77" s="11"/>
      <c r="M77" s="23" t="str">
        <f t="shared" si="4"/>
        <v/>
      </c>
      <c r="N77" s="8" t="str">
        <f>IF(E77="","",IFERROR(IF(INDEX('Tổng hợp'!$D$6:$D$16,MATCH(E77,'Tổng hợp'!$A$6:$A$16,0))="","",INDEX('Tổng hợp'!$D$6:$D$16,MATCH(E77,'Tổng hợp'!$A$6:$A$16,0))),""))</f>
        <v/>
      </c>
      <c r="O77" s="8" t="str">
        <f t="shared" si="5"/>
        <v/>
      </c>
    </row>
    <row r="78" spans="1:15">
      <c r="A78" s="8">
        <v>73</v>
      </c>
      <c r="B78" s="22"/>
      <c r="C78" s="10"/>
      <c r="D78" s="8" t="str">
        <f>IF(E78="","",IFERROR(INDEX('Tổng hợp'!$B$6:$B$16,MATCH(E78,'Tổng hợp'!$A$6:$A$16,0)),""))</f>
        <v/>
      </c>
      <c r="E78" s="10"/>
      <c r="F78" s="10"/>
      <c r="G78" s="10"/>
      <c r="H78" s="10"/>
      <c r="I78" s="10"/>
      <c r="J78" s="10"/>
      <c r="K78" s="10"/>
      <c r="L78" s="11"/>
      <c r="M78" s="23" t="str">
        <f t="shared" si="4"/>
        <v/>
      </c>
      <c r="N78" s="8" t="str">
        <f>IF(E78="","",IFERROR(IF(INDEX('Tổng hợp'!$D$6:$D$16,MATCH(E78,'Tổng hợp'!$A$6:$A$16,0))="","",INDEX('Tổng hợp'!$D$6:$D$16,MATCH(E78,'Tổng hợp'!$A$6:$A$16,0))),""))</f>
        <v/>
      </c>
      <c r="O78" s="8" t="str">
        <f t="shared" si="5"/>
        <v/>
      </c>
    </row>
    <row r="79" spans="1:15">
      <c r="A79" s="8">
        <v>74</v>
      </c>
      <c r="B79" s="22"/>
      <c r="C79" s="10"/>
      <c r="D79" s="8" t="str">
        <f>IF(E79="","",IFERROR(INDEX('Tổng hợp'!$B$6:$B$16,MATCH(E79,'Tổng hợp'!$A$6:$A$16,0)),""))</f>
        <v/>
      </c>
      <c r="E79" s="10"/>
      <c r="F79" s="10"/>
      <c r="G79" s="10"/>
      <c r="H79" s="10"/>
      <c r="I79" s="10"/>
      <c r="J79" s="10"/>
      <c r="K79" s="10"/>
      <c r="L79" s="11"/>
      <c r="M79" s="23" t="str">
        <f t="shared" si="4"/>
        <v/>
      </c>
      <c r="N79" s="8" t="str">
        <f>IF(E79="","",IFERROR(IF(INDEX('Tổng hợp'!$D$6:$D$16,MATCH(E79,'Tổng hợp'!$A$6:$A$16,0))="","",INDEX('Tổng hợp'!$D$6:$D$16,MATCH(E79,'Tổng hợp'!$A$6:$A$16,0))),""))</f>
        <v/>
      </c>
      <c r="O79" s="8" t="str">
        <f t="shared" si="5"/>
        <v/>
      </c>
    </row>
    <row r="80" spans="1:15">
      <c r="A80" s="8">
        <v>75</v>
      </c>
      <c r="B80" s="22"/>
      <c r="C80" s="10"/>
      <c r="D80" s="8" t="str">
        <f>IF(E80="","",IFERROR(INDEX('Tổng hợp'!$B$6:$B$16,MATCH(E80,'Tổng hợp'!$A$6:$A$16,0)),""))</f>
        <v/>
      </c>
      <c r="E80" s="10"/>
      <c r="F80" s="10"/>
      <c r="G80" s="10"/>
      <c r="H80" s="10"/>
      <c r="I80" s="10"/>
      <c r="J80" s="10"/>
      <c r="K80" s="10"/>
      <c r="L80" s="11"/>
      <c r="M80" s="23" t="str">
        <f t="shared" si="4"/>
        <v/>
      </c>
      <c r="N80" s="8" t="str">
        <f>IF(E80="","",IFERROR(IF(INDEX('Tổng hợp'!$D$6:$D$16,MATCH(E80,'Tổng hợp'!$A$6:$A$16,0))="","",INDEX('Tổng hợp'!$D$6:$D$16,MATCH(E80,'Tổng hợp'!$A$6:$A$16,0))),""))</f>
        <v/>
      </c>
      <c r="O80" s="8" t="str">
        <f t="shared" si="5"/>
        <v/>
      </c>
    </row>
    <row r="81" spans="1:15">
      <c r="A81" s="8">
        <v>76</v>
      </c>
      <c r="B81" s="22"/>
      <c r="C81" s="10"/>
      <c r="D81" s="8" t="str">
        <f>IF(E81="","",IFERROR(INDEX('Tổng hợp'!$B$6:$B$16,MATCH(E81,'Tổng hợp'!$A$6:$A$16,0)),""))</f>
        <v/>
      </c>
      <c r="E81" s="10"/>
      <c r="F81" s="10"/>
      <c r="G81" s="10"/>
      <c r="H81" s="10"/>
      <c r="I81" s="10"/>
      <c r="J81" s="10"/>
      <c r="K81" s="10"/>
      <c r="L81" s="11"/>
      <c r="M81" s="23" t="str">
        <f t="shared" si="4"/>
        <v/>
      </c>
      <c r="N81" s="8" t="str">
        <f>IF(E81="","",IFERROR(IF(INDEX('Tổng hợp'!$D$6:$D$16,MATCH(E81,'Tổng hợp'!$A$6:$A$16,0))="","",INDEX('Tổng hợp'!$D$6:$D$16,MATCH(E81,'Tổng hợp'!$A$6:$A$16,0))),""))</f>
        <v/>
      </c>
      <c r="O81" s="8" t="str">
        <f t="shared" si="5"/>
        <v/>
      </c>
    </row>
    <row r="82" spans="1:15">
      <c r="A82" s="8">
        <v>77</v>
      </c>
      <c r="B82" s="22"/>
      <c r="C82" s="10"/>
      <c r="D82" s="8" t="str">
        <f>IF(E82="","",IFERROR(INDEX('Tổng hợp'!$B$6:$B$16,MATCH(E82,'Tổng hợp'!$A$6:$A$16,0)),""))</f>
        <v/>
      </c>
      <c r="E82" s="10"/>
      <c r="F82" s="10"/>
      <c r="G82" s="10"/>
      <c r="H82" s="10"/>
      <c r="I82" s="10"/>
      <c r="J82" s="10"/>
      <c r="K82" s="10"/>
      <c r="L82" s="11"/>
      <c r="M82" s="23" t="str">
        <f t="shared" si="4"/>
        <v/>
      </c>
      <c r="N82" s="8" t="str">
        <f>IF(E82="","",IFERROR(IF(INDEX('Tổng hợp'!$D$6:$D$16,MATCH(E82,'Tổng hợp'!$A$6:$A$16,0))="","",INDEX('Tổng hợp'!$D$6:$D$16,MATCH(E82,'Tổng hợp'!$A$6:$A$16,0))),""))</f>
        <v/>
      </c>
      <c r="O82" s="8" t="str">
        <f t="shared" si="5"/>
        <v/>
      </c>
    </row>
    <row r="83" spans="1:15">
      <c r="A83" s="8">
        <v>78</v>
      </c>
      <c r="B83" s="22"/>
      <c r="C83" s="10"/>
      <c r="D83" s="8" t="str">
        <f>IF(E83="","",IFERROR(INDEX('Tổng hợp'!$B$6:$B$16,MATCH(E83,'Tổng hợp'!$A$6:$A$16,0)),""))</f>
        <v/>
      </c>
      <c r="E83" s="10"/>
      <c r="F83" s="10"/>
      <c r="G83" s="10"/>
      <c r="H83" s="10"/>
      <c r="I83" s="10"/>
      <c r="J83" s="10"/>
      <c r="K83" s="10"/>
      <c r="L83" s="11"/>
      <c r="M83" s="23" t="str">
        <f t="shared" si="4"/>
        <v/>
      </c>
      <c r="N83" s="8" t="str">
        <f>IF(E83="","",IFERROR(IF(INDEX('Tổng hợp'!$D$6:$D$16,MATCH(E83,'Tổng hợp'!$A$6:$A$16,0))="","",INDEX('Tổng hợp'!$D$6:$D$16,MATCH(E83,'Tổng hợp'!$A$6:$A$16,0))),""))</f>
        <v/>
      </c>
      <c r="O83" s="8" t="str">
        <f t="shared" si="5"/>
        <v/>
      </c>
    </row>
    <row r="84" spans="1:15">
      <c r="A84" s="8">
        <v>79</v>
      </c>
      <c r="B84" s="22"/>
      <c r="C84" s="10"/>
      <c r="D84" s="8" t="str">
        <f>IF(E84="","",IFERROR(INDEX('Tổng hợp'!$B$6:$B$16,MATCH(E84,'Tổng hợp'!$A$6:$A$16,0)),""))</f>
        <v/>
      </c>
      <c r="E84" s="10"/>
      <c r="F84" s="10"/>
      <c r="G84" s="10"/>
      <c r="H84" s="10"/>
      <c r="I84" s="10"/>
      <c r="J84" s="10"/>
      <c r="K84" s="10"/>
      <c r="L84" s="11"/>
      <c r="M84" s="23" t="str">
        <f t="shared" si="4"/>
        <v/>
      </c>
      <c r="N84" s="8" t="str">
        <f>IF(E84="","",IFERROR(IF(INDEX('Tổng hợp'!$D$6:$D$16,MATCH(E84,'Tổng hợp'!$A$6:$A$16,0))="","",INDEX('Tổng hợp'!$D$6:$D$16,MATCH(E84,'Tổng hợp'!$A$6:$A$16,0))),""))</f>
        <v/>
      </c>
      <c r="O84" s="8" t="str">
        <f t="shared" si="5"/>
        <v/>
      </c>
    </row>
    <row r="85" spans="1:15">
      <c r="A85" s="8">
        <v>80</v>
      </c>
      <c r="B85" s="22"/>
      <c r="C85" s="10"/>
      <c r="D85" s="8" t="str">
        <f>IF(E85="","",IFERROR(INDEX('Tổng hợp'!$B$6:$B$16,MATCH(E85,'Tổng hợp'!$A$6:$A$16,0)),""))</f>
        <v/>
      </c>
      <c r="E85" s="10"/>
      <c r="F85" s="10"/>
      <c r="G85" s="10"/>
      <c r="H85" s="10"/>
      <c r="I85" s="10"/>
      <c r="J85" s="10"/>
      <c r="K85" s="10"/>
      <c r="L85" s="11"/>
      <c r="M85" s="23" t="str">
        <f t="shared" si="4"/>
        <v/>
      </c>
      <c r="N85" s="8" t="str">
        <f>IF(E85="","",IFERROR(IF(INDEX('Tổng hợp'!$D$6:$D$16,MATCH(E85,'Tổng hợp'!$A$6:$A$16,0))="","",INDEX('Tổng hợp'!$D$6:$D$16,MATCH(E85,'Tổng hợp'!$A$6:$A$16,0))),""))</f>
        <v/>
      </c>
      <c r="O85" s="8" t="str">
        <f t="shared" si="5"/>
        <v/>
      </c>
    </row>
    <row r="86" spans="1:15">
      <c r="A86" s="8">
        <v>81</v>
      </c>
      <c r="B86" s="22"/>
      <c r="C86" s="10"/>
      <c r="D86" s="8" t="str">
        <f>IF(E86="","",IFERROR(INDEX('Tổng hợp'!$B$6:$B$16,MATCH(E86,'Tổng hợp'!$A$6:$A$16,0)),""))</f>
        <v/>
      </c>
      <c r="E86" s="10"/>
      <c r="F86" s="10"/>
      <c r="G86" s="10"/>
      <c r="H86" s="10"/>
      <c r="I86" s="10"/>
      <c r="J86" s="10"/>
      <c r="K86" s="10"/>
      <c r="L86" s="11"/>
      <c r="M86" s="23" t="str">
        <f t="shared" si="4"/>
        <v/>
      </c>
      <c r="N86" s="8" t="str">
        <f>IF(E86="","",IFERROR(IF(INDEX('Tổng hợp'!$D$6:$D$16,MATCH(E86,'Tổng hợp'!$A$6:$A$16,0))="","",INDEX('Tổng hợp'!$D$6:$D$16,MATCH(E86,'Tổng hợp'!$A$6:$A$16,0))),""))</f>
        <v/>
      </c>
      <c r="O86" s="8" t="str">
        <f t="shared" si="5"/>
        <v/>
      </c>
    </row>
    <row r="87" spans="1:15">
      <c r="A87" s="8">
        <v>82</v>
      </c>
      <c r="B87" s="22"/>
      <c r="C87" s="10"/>
      <c r="D87" s="8" t="str">
        <f>IF(E87="","",IFERROR(INDEX('Tổng hợp'!$B$6:$B$16,MATCH(E87,'Tổng hợp'!$A$6:$A$16,0)),""))</f>
        <v/>
      </c>
      <c r="E87" s="10"/>
      <c r="F87" s="10"/>
      <c r="G87" s="10"/>
      <c r="H87" s="10"/>
      <c r="I87" s="10"/>
      <c r="J87" s="10"/>
      <c r="K87" s="10"/>
      <c r="L87" s="11"/>
      <c r="M87" s="23" t="str">
        <f t="shared" si="4"/>
        <v/>
      </c>
      <c r="N87" s="8" t="str">
        <f>IF(E87="","",IFERROR(IF(INDEX('Tổng hợp'!$D$6:$D$16,MATCH(E87,'Tổng hợp'!$A$6:$A$16,0))="","",INDEX('Tổng hợp'!$D$6:$D$16,MATCH(E87,'Tổng hợp'!$A$6:$A$16,0))),""))</f>
        <v/>
      </c>
      <c r="O87" s="8" t="str">
        <f t="shared" si="5"/>
        <v/>
      </c>
    </row>
    <row r="88" spans="1:15">
      <c r="A88" s="8">
        <v>83</v>
      </c>
      <c r="B88" s="22"/>
      <c r="C88" s="10"/>
      <c r="D88" s="8" t="str">
        <f>IF(E88="","",IFERROR(INDEX('Tổng hợp'!$B$6:$B$16,MATCH(E88,'Tổng hợp'!$A$6:$A$16,0)),""))</f>
        <v/>
      </c>
      <c r="E88" s="10"/>
      <c r="F88" s="10"/>
      <c r="G88" s="10"/>
      <c r="H88" s="10"/>
      <c r="I88" s="10"/>
      <c r="J88" s="10"/>
      <c r="K88" s="10"/>
      <c r="L88" s="11"/>
      <c r="M88" s="23" t="str">
        <f t="shared" si="4"/>
        <v/>
      </c>
      <c r="N88" s="8" t="str">
        <f>IF(E88="","",IFERROR(IF(INDEX('Tổng hợp'!$D$6:$D$16,MATCH(E88,'Tổng hợp'!$A$6:$A$16,0))="","",INDEX('Tổng hợp'!$D$6:$D$16,MATCH(E88,'Tổng hợp'!$A$6:$A$16,0))),""))</f>
        <v/>
      </c>
      <c r="O88" s="8" t="str">
        <f t="shared" si="5"/>
        <v/>
      </c>
    </row>
    <row r="89" spans="1:15">
      <c r="A89" s="8">
        <v>84</v>
      </c>
      <c r="B89" s="22"/>
      <c r="C89" s="10"/>
      <c r="D89" s="8" t="str">
        <f>IF(E89="","",IFERROR(INDEX('Tổng hợp'!$B$6:$B$16,MATCH(E89,'Tổng hợp'!$A$6:$A$16,0)),""))</f>
        <v/>
      </c>
      <c r="E89" s="10"/>
      <c r="F89" s="10"/>
      <c r="G89" s="10"/>
      <c r="H89" s="10"/>
      <c r="I89" s="10"/>
      <c r="J89" s="10"/>
      <c r="K89" s="10"/>
      <c r="L89" s="11"/>
      <c r="M89" s="23" t="str">
        <f t="shared" si="4"/>
        <v/>
      </c>
      <c r="N89" s="8" t="str">
        <f>IF(E89="","",IFERROR(IF(INDEX('Tổng hợp'!$D$6:$D$16,MATCH(E89,'Tổng hợp'!$A$6:$A$16,0))="","",INDEX('Tổng hợp'!$D$6:$D$16,MATCH(E89,'Tổng hợp'!$A$6:$A$16,0))),""))</f>
        <v/>
      </c>
      <c r="O89" s="8" t="str">
        <f t="shared" si="5"/>
        <v/>
      </c>
    </row>
    <row r="90" spans="1:15">
      <c r="A90" s="8">
        <v>85</v>
      </c>
      <c r="B90" s="22"/>
      <c r="C90" s="10"/>
      <c r="D90" s="8" t="str">
        <f>IF(E90="","",IFERROR(INDEX('Tổng hợp'!$B$6:$B$16,MATCH(E90,'Tổng hợp'!$A$6:$A$16,0)),""))</f>
        <v/>
      </c>
      <c r="E90" s="10"/>
      <c r="F90" s="10"/>
      <c r="G90" s="10"/>
      <c r="H90" s="10"/>
      <c r="I90" s="10"/>
      <c r="J90" s="10"/>
      <c r="K90" s="10"/>
      <c r="L90" s="11"/>
      <c r="M90" s="23" t="str">
        <f t="shared" si="4"/>
        <v/>
      </c>
      <c r="N90" s="8" t="str">
        <f>IF(E90="","",IFERROR(IF(INDEX('Tổng hợp'!$D$6:$D$16,MATCH(E90,'Tổng hợp'!$A$6:$A$16,0))="","",INDEX('Tổng hợp'!$D$6:$D$16,MATCH(E90,'Tổng hợp'!$A$6:$A$16,0))),""))</f>
        <v/>
      </c>
      <c r="O90" s="8" t="str">
        <f t="shared" si="5"/>
        <v/>
      </c>
    </row>
    <row r="91" spans="1:15">
      <c r="A91" s="8">
        <v>86</v>
      </c>
      <c r="B91" s="22"/>
      <c r="C91" s="10"/>
      <c r="D91" s="8" t="str">
        <f>IF(E91="","",IFERROR(INDEX('Tổng hợp'!$B$6:$B$16,MATCH(E91,'Tổng hợp'!$A$6:$A$16,0)),""))</f>
        <v/>
      </c>
      <c r="E91" s="10"/>
      <c r="F91" s="10"/>
      <c r="G91" s="10"/>
      <c r="H91" s="10"/>
      <c r="I91" s="10"/>
      <c r="J91" s="10"/>
      <c r="K91" s="10"/>
      <c r="L91" s="11"/>
      <c r="M91" s="23" t="str">
        <f t="shared" si="4"/>
        <v/>
      </c>
      <c r="N91" s="8" t="str">
        <f>IF(E91="","",IFERROR(IF(INDEX('Tổng hợp'!$D$6:$D$16,MATCH(E91,'Tổng hợp'!$A$6:$A$16,0))="","",INDEX('Tổng hợp'!$D$6:$D$16,MATCH(E91,'Tổng hợp'!$A$6:$A$16,0))),""))</f>
        <v/>
      </c>
      <c r="O91" s="8" t="str">
        <f t="shared" si="5"/>
        <v/>
      </c>
    </row>
    <row r="92" spans="1:15">
      <c r="A92" s="8">
        <v>87</v>
      </c>
      <c r="B92" s="22"/>
      <c r="C92" s="10"/>
      <c r="D92" s="8" t="str">
        <f>IF(E92="","",IFERROR(INDEX('Tổng hợp'!$B$6:$B$16,MATCH(E92,'Tổng hợp'!$A$6:$A$16,0)),""))</f>
        <v/>
      </c>
      <c r="E92" s="10"/>
      <c r="F92" s="10"/>
      <c r="G92" s="10"/>
      <c r="H92" s="10"/>
      <c r="I92" s="10"/>
      <c r="J92" s="10"/>
      <c r="K92" s="10"/>
      <c r="L92" s="11"/>
      <c r="M92" s="23" t="str">
        <f t="shared" si="4"/>
        <v/>
      </c>
      <c r="N92" s="8" t="str">
        <f>IF(E92="","",IFERROR(IF(INDEX('Tổng hợp'!$D$6:$D$16,MATCH(E92,'Tổng hợp'!$A$6:$A$16,0))="","",INDEX('Tổng hợp'!$D$6:$D$16,MATCH(E92,'Tổng hợp'!$A$6:$A$16,0))),""))</f>
        <v/>
      </c>
      <c r="O92" s="8" t="str">
        <f t="shared" si="5"/>
        <v/>
      </c>
    </row>
    <row r="93" spans="1:15">
      <c r="A93" s="8">
        <v>88</v>
      </c>
      <c r="B93" s="22"/>
      <c r="C93" s="10"/>
      <c r="D93" s="8" t="str">
        <f>IF(E93="","",IFERROR(INDEX('Tổng hợp'!$B$6:$B$16,MATCH(E93,'Tổng hợp'!$A$6:$A$16,0)),""))</f>
        <v/>
      </c>
      <c r="E93" s="10"/>
      <c r="F93" s="10"/>
      <c r="G93" s="10"/>
      <c r="H93" s="10"/>
      <c r="I93" s="10"/>
      <c r="J93" s="10"/>
      <c r="K93" s="10"/>
      <c r="L93" s="11"/>
      <c r="M93" s="23" t="str">
        <f t="shared" si="4"/>
        <v/>
      </c>
      <c r="N93" s="8" t="str">
        <f>IF(E93="","",IFERROR(IF(INDEX('Tổng hợp'!$D$6:$D$16,MATCH(E93,'Tổng hợp'!$A$6:$A$16,0))="","",INDEX('Tổng hợp'!$D$6:$D$16,MATCH(E93,'Tổng hợp'!$A$6:$A$16,0))),""))</f>
        <v/>
      </c>
      <c r="O93" s="8" t="str">
        <f t="shared" si="5"/>
        <v/>
      </c>
    </row>
    <row r="94" spans="1:15">
      <c r="A94" s="8">
        <v>89</v>
      </c>
      <c r="B94" s="22"/>
      <c r="C94" s="10"/>
      <c r="D94" s="8" t="str">
        <f>IF(E94="","",IFERROR(INDEX('Tổng hợp'!$B$6:$B$16,MATCH(E94,'Tổng hợp'!$A$6:$A$16,0)),""))</f>
        <v/>
      </c>
      <c r="E94" s="10"/>
      <c r="F94" s="10"/>
      <c r="G94" s="10"/>
      <c r="H94" s="10"/>
      <c r="I94" s="10"/>
      <c r="J94" s="10"/>
      <c r="K94" s="10"/>
      <c r="L94" s="11"/>
      <c r="M94" s="23" t="str">
        <f t="shared" si="4"/>
        <v/>
      </c>
      <c r="N94" s="8" t="str">
        <f>IF(E94="","",IFERROR(IF(INDEX('Tổng hợp'!$D$6:$D$16,MATCH(E94,'Tổng hợp'!$A$6:$A$16,0))="","",INDEX('Tổng hợp'!$D$6:$D$16,MATCH(E94,'Tổng hợp'!$A$6:$A$16,0))),""))</f>
        <v/>
      </c>
      <c r="O94" s="8" t="str">
        <f t="shared" si="5"/>
        <v/>
      </c>
    </row>
    <row r="95" spans="1:15">
      <c r="A95" s="8">
        <v>90</v>
      </c>
      <c r="B95" s="22"/>
      <c r="C95" s="10"/>
      <c r="D95" s="8" t="str">
        <f>IF(E95="","",IFERROR(INDEX('Tổng hợp'!$B$6:$B$16,MATCH(E95,'Tổng hợp'!$A$6:$A$16,0)),""))</f>
        <v/>
      </c>
      <c r="E95" s="10"/>
      <c r="F95" s="10"/>
      <c r="G95" s="10"/>
      <c r="H95" s="10"/>
      <c r="I95" s="10"/>
      <c r="J95" s="10"/>
      <c r="K95" s="10"/>
      <c r="L95" s="11"/>
      <c r="M95" s="23" t="str">
        <f t="shared" si="4"/>
        <v/>
      </c>
      <c r="N95" s="8" t="str">
        <f>IF(E95="","",IFERROR(IF(INDEX('Tổng hợp'!$D$6:$D$16,MATCH(E95,'Tổng hợp'!$A$6:$A$16,0))="","",INDEX('Tổng hợp'!$D$6:$D$16,MATCH(E95,'Tổng hợp'!$A$6:$A$16,0))),""))</f>
        <v/>
      </c>
      <c r="O95" s="8" t="str">
        <f t="shared" si="5"/>
        <v/>
      </c>
    </row>
    <row r="96" spans="1:15">
      <c r="A96" s="8">
        <v>91</v>
      </c>
      <c r="B96" s="22"/>
      <c r="C96" s="10"/>
      <c r="D96" s="8" t="str">
        <f>IF(E96="","",IFERROR(INDEX('Tổng hợp'!$B$6:$B$16,MATCH(E96,'Tổng hợp'!$A$6:$A$16,0)),""))</f>
        <v/>
      </c>
      <c r="E96" s="10"/>
      <c r="F96" s="10"/>
      <c r="G96" s="10"/>
      <c r="H96" s="10"/>
      <c r="I96" s="10"/>
      <c r="J96" s="10"/>
      <c r="K96" s="10"/>
      <c r="L96" s="11"/>
      <c r="M96" s="23" t="str">
        <f t="shared" si="4"/>
        <v/>
      </c>
      <c r="N96" s="8" t="str">
        <f>IF(E96="","",IFERROR(IF(INDEX('Tổng hợp'!$D$6:$D$16,MATCH(E96,'Tổng hợp'!$A$6:$A$16,0))="","",INDEX('Tổng hợp'!$D$6:$D$16,MATCH(E96,'Tổng hợp'!$A$6:$A$16,0))),""))</f>
        <v/>
      </c>
      <c r="O96" s="8" t="str">
        <f t="shared" si="5"/>
        <v/>
      </c>
    </row>
    <row r="97" spans="1:15">
      <c r="A97" s="8">
        <v>92</v>
      </c>
      <c r="B97" s="22"/>
      <c r="C97" s="10"/>
      <c r="D97" s="8" t="str">
        <f>IF(E97="","",IFERROR(INDEX('Tổng hợp'!$B$6:$B$16,MATCH(E97,'Tổng hợp'!$A$6:$A$16,0)),""))</f>
        <v/>
      </c>
      <c r="E97" s="10"/>
      <c r="F97" s="10"/>
      <c r="G97" s="10"/>
      <c r="H97" s="10"/>
      <c r="I97" s="10"/>
      <c r="J97" s="10"/>
      <c r="K97" s="10"/>
      <c r="L97" s="11"/>
      <c r="M97" s="23" t="str">
        <f t="shared" si="4"/>
        <v/>
      </c>
      <c r="N97" s="8" t="str">
        <f>IF(E97="","",IFERROR(IF(INDEX('Tổng hợp'!$D$6:$D$16,MATCH(E97,'Tổng hợp'!$A$6:$A$16,0))="","",INDEX('Tổng hợp'!$D$6:$D$16,MATCH(E97,'Tổng hợp'!$A$6:$A$16,0))),""))</f>
        <v/>
      </c>
      <c r="O97" s="8" t="str">
        <f t="shared" si="5"/>
        <v/>
      </c>
    </row>
    <row r="98" spans="1:15">
      <c r="A98" s="8">
        <v>93</v>
      </c>
      <c r="B98" s="22"/>
      <c r="C98" s="10"/>
      <c r="D98" s="8" t="str">
        <f>IF(E98="","",IFERROR(INDEX('Tổng hợp'!$B$6:$B$16,MATCH(E98,'Tổng hợp'!$A$6:$A$16,0)),""))</f>
        <v/>
      </c>
      <c r="E98" s="10"/>
      <c r="F98" s="10"/>
      <c r="G98" s="10"/>
      <c r="H98" s="10"/>
      <c r="I98" s="10"/>
      <c r="J98" s="10"/>
      <c r="K98" s="10"/>
      <c r="L98" s="11"/>
      <c r="M98" s="23" t="str">
        <f t="shared" si="4"/>
        <v/>
      </c>
      <c r="N98" s="8" t="str">
        <f>IF(E98="","",IFERROR(IF(INDEX('Tổng hợp'!$D$6:$D$16,MATCH(E98,'Tổng hợp'!$A$6:$A$16,0))="","",INDEX('Tổng hợp'!$D$6:$D$16,MATCH(E98,'Tổng hợp'!$A$6:$A$16,0))),""))</f>
        <v/>
      </c>
      <c r="O98" s="8" t="str">
        <f t="shared" si="5"/>
        <v/>
      </c>
    </row>
    <row r="99" spans="1:15">
      <c r="A99" s="8">
        <v>94</v>
      </c>
      <c r="B99" s="22"/>
      <c r="C99" s="10"/>
      <c r="D99" s="8" t="str">
        <f>IF(E99="","",IFERROR(INDEX('Tổng hợp'!$B$6:$B$16,MATCH(E99,'Tổng hợp'!$A$6:$A$16,0)),""))</f>
        <v/>
      </c>
      <c r="E99" s="10"/>
      <c r="F99" s="10"/>
      <c r="G99" s="10"/>
      <c r="H99" s="10"/>
      <c r="I99" s="10"/>
      <c r="J99" s="10"/>
      <c r="K99" s="10"/>
      <c r="L99" s="11"/>
      <c r="M99" s="23" t="str">
        <f t="shared" si="4"/>
        <v/>
      </c>
      <c r="N99" s="8" t="str">
        <f>IF(E99="","",IFERROR(IF(INDEX('Tổng hợp'!$D$6:$D$16,MATCH(E99,'Tổng hợp'!$A$6:$A$16,0))="","",INDEX('Tổng hợp'!$D$6:$D$16,MATCH(E99,'Tổng hợp'!$A$6:$A$16,0))),""))</f>
        <v/>
      </c>
      <c r="O99" s="8" t="str">
        <f t="shared" si="5"/>
        <v/>
      </c>
    </row>
    <row r="100" spans="1:15">
      <c r="A100" s="8">
        <v>95</v>
      </c>
      <c r="B100" s="22"/>
      <c r="C100" s="10"/>
      <c r="D100" s="8" t="str">
        <f>IF(E100="","",IFERROR(INDEX('Tổng hợp'!$B$6:$B$16,MATCH(E100,'Tổng hợp'!$A$6:$A$16,0)),""))</f>
        <v/>
      </c>
      <c r="E100" s="10"/>
      <c r="F100" s="10"/>
      <c r="G100" s="10"/>
      <c r="H100" s="10"/>
      <c r="I100" s="10"/>
      <c r="J100" s="10"/>
      <c r="K100" s="10"/>
      <c r="L100" s="11"/>
      <c r="M100" s="23" t="str">
        <f t="shared" si="4"/>
        <v/>
      </c>
      <c r="N100" s="8" t="str">
        <f>IF(E100="","",IFERROR(IF(INDEX('Tổng hợp'!$D$6:$D$16,MATCH(E100,'Tổng hợp'!$A$6:$A$16,0))="","",INDEX('Tổng hợp'!$D$6:$D$16,MATCH(E100,'Tổng hợp'!$A$6:$A$16,0))),""))</f>
        <v/>
      </c>
      <c r="O100" s="8" t="str">
        <f t="shared" si="5"/>
        <v/>
      </c>
    </row>
    <row r="101" spans="1:15">
      <c r="A101" s="8">
        <v>96</v>
      </c>
      <c r="B101" s="22"/>
      <c r="C101" s="10"/>
      <c r="D101" s="8" t="str">
        <f>IF(E101="","",IFERROR(INDEX('Tổng hợp'!$B$6:$B$16,MATCH(E101,'Tổng hợp'!$A$6:$A$16,0)),""))</f>
        <v/>
      </c>
      <c r="E101" s="10"/>
      <c r="F101" s="10"/>
      <c r="G101" s="10"/>
      <c r="H101" s="10"/>
      <c r="I101" s="10"/>
      <c r="J101" s="10"/>
      <c r="K101" s="10"/>
      <c r="L101" s="11"/>
      <c r="M101" s="23" t="str">
        <f t="shared" si="4"/>
        <v/>
      </c>
      <c r="N101" s="8" t="str">
        <f>IF(E101="","",IFERROR(IF(INDEX('Tổng hợp'!$D$6:$D$16,MATCH(E101,'Tổng hợp'!$A$6:$A$16,0))="","",INDEX('Tổng hợp'!$D$6:$D$16,MATCH(E101,'Tổng hợp'!$A$6:$A$16,0))),""))</f>
        <v/>
      </c>
      <c r="O101" s="8" t="str">
        <f t="shared" ref="O101:O132" si="6">IF(OR(M101="",N101=""),"",IF(AND(I101="Tự làm được",M101&lt;=N101),"Đạt","Chưa đạt"))</f>
        <v/>
      </c>
    </row>
    <row r="102" spans="1:15">
      <c r="A102" s="8">
        <v>97</v>
      </c>
      <c r="B102" s="22"/>
      <c r="C102" s="10"/>
      <c r="D102" s="8" t="str">
        <f>IF(E102="","",IFERROR(INDEX('Tổng hợp'!$B$6:$B$16,MATCH(E102,'Tổng hợp'!$A$6:$A$16,0)),""))</f>
        <v/>
      </c>
      <c r="E102" s="10"/>
      <c r="F102" s="10"/>
      <c r="G102" s="10"/>
      <c r="H102" s="10"/>
      <c r="I102" s="10"/>
      <c r="J102" s="10"/>
      <c r="K102" s="10"/>
      <c r="L102" s="11"/>
      <c r="M102" s="23" t="str">
        <f t="shared" si="4"/>
        <v/>
      </c>
      <c r="N102" s="8" t="str">
        <f>IF(E102="","",IFERROR(IF(INDEX('Tổng hợp'!$D$6:$D$16,MATCH(E102,'Tổng hợp'!$A$6:$A$16,0))="","",INDEX('Tổng hợp'!$D$6:$D$16,MATCH(E102,'Tổng hợp'!$A$6:$A$16,0))),""))</f>
        <v/>
      </c>
      <c r="O102" s="8" t="str">
        <f t="shared" si="6"/>
        <v/>
      </c>
    </row>
    <row r="103" spans="1:15">
      <c r="A103" s="8">
        <v>98</v>
      </c>
      <c r="B103" s="22"/>
      <c r="C103" s="10"/>
      <c r="D103" s="8" t="str">
        <f>IF(E103="","",IFERROR(INDEX('Tổng hợp'!$B$6:$B$16,MATCH(E103,'Tổng hợp'!$A$6:$A$16,0)),""))</f>
        <v/>
      </c>
      <c r="E103" s="10"/>
      <c r="F103" s="10"/>
      <c r="G103" s="10"/>
      <c r="H103" s="10"/>
      <c r="I103" s="10"/>
      <c r="J103" s="10"/>
      <c r="K103" s="10"/>
      <c r="L103" s="11"/>
      <c r="M103" s="23" t="str">
        <f t="shared" si="4"/>
        <v/>
      </c>
      <c r="N103" s="8" t="str">
        <f>IF(E103="","",IFERROR(IF(INDEX('Tổng hợp'!$D$6:$D$16,MATCH(E103,'Tổng hợp'!$A$6:$A$16,0))="","",INDEX('Tổng hợp'!$D$6:$D$16,MATCH(E103,'Tổng hợp'!$A$6:$A$16,0))),""))</f>
        <v/>
      </c>
      <c r="O103" s="8" t="str">
        <f t="shared" si="6"/>
        <v/>
      </c>
    </row>
    <row r="104" spans="1:15">
      <c r="A104" s="8">
        <v>99</v>
      </c>
      <c r="B104" s="22"/>
      <c r="C104" s="10"/>
      <c r="D104" s="8" t="str">
        <f>IF(E104="","",IFERROR(INDEX('Tổng hợp'!$B$6:$B$16,MATCH(E104,'Tổng hợp'!$A$6:$A$16,0)),""))</f>
        <v/>
      </c>
      <c r="E104" s="10"/>
      <c r="F104" s="10"/>
      <c r="G104" s="10"/>
      <c r="H104" s="10"/>
      <c r="I104" s="10"/>
      <c r="J104" s="10"/>
      <c r="K104" s="10"/>
      <c r="L104" s="11"/>
      <c r="M104" s="23" t="str">
        <f t="shared" si="4"/>
        <v/>
      </c>
      <c r="N104" s="8" t="str">
        <f>IF(E104="","",IFERROR(IF(INDEX('Tổng hợp'!$D$6:$D$16,MATCH(E104,'Tổng hợp'!$A$6:$A$16,0))="","",INDEX('Tổng hợp'!$D$6:$D$16,MATCH(E104,'Tổng hợp'!$A$6:$A$16,0))),""))</f>
        <v/>
      </c>
      <c r="O104" s="8" t="str">
        <f t="shared" si="6"/>
        <v/>
      </c>
    </row>
    <row r="105" spans="1:15">
      <c r="A105" s="8">
        <v>100</v>
      </c>
      <c r="B105" s="22"/>
      <c r="C105" s="10"/>
      <c r="D105" s="8" t="str">
        <f>IF(E105="","",IFERROR(INDEX('Tổng hợp'!$B$6:$B$16,MATCH(E105,'Tổng hợp'!$A$6:$A$16,0)),""))</f>
        <v/>
      </c>
      <c r="E105" s="10"/>
      <c r="F105" s="10"/>
      <c r="G105" s="10"/>
      <c r="H105" s="10"/>
      <c r="I105" s="10"/>
      <c r="J105" s="10"/>
      <c r="K105" s="10"/>
      <c r="L105" s="11"/>
      <c r="M105" s="23" t="str">
        <f t="shared" si="4"/>
        <v/>
      </c>
      <c r="N105" s="8" t="str">
        <f>IF(E105="","",IFERROR(IF(INDEX('Tổng hợp'!$D$6:$D$16,MATCH(E105,'Tổng hợp'!$A$6:$A$16,0))="","",INDEX('Tổng hợp'!$D$6:$D$16,MATCH(E105,'Tổng hợp'!$A$6:$A$16,0))),""))</f>
        <v/>
      </c>
      <c r="O105" s="8" t="str">
        <f t="shared" si="6"/>
        <v/>
      </c>
    </row>
  </sheetData>
  <conditionalFormatting sqref="O5:O105">
    <cfRule type="cellIs" dxfId="7" priority="1" operator="equal">
      <formula>"Đạt"</formula>
    </cfRule>
    <cfRule type="cellIs" dxfId="6" priority="2" operator="equal">
      <formula>"Chưa đạt"</formula>
    </cfRule>
  </conditionalFormatting>
  <dataValidations count="4">
    <dataValidation type="list" allowBlank="1" sqref="F6:F105" xr:uid="{00000000-0002-0000-0500-000001000000}">
      <formula1>"Máy tính,Điện thoại,Máy tính bảng"</formula1>
    </dataValidation>
    <dataValidation type="list" allowBlank="1" sqref="I6:I105" xr:uid="{00000000-0002-0000-0500-000002000000}">
      <formula1>"Tự làm được,Cần trợ giúp,Không xong"</formula1>
    </dataValidation>
    <dataValidation type="whole" allowBlank="1" error="Nhập số từ 1 (rất khó) đến 5 (rất dễ)" sqref="K6:K105" xr:uid="{00000000-0002-0000-0500-000003000000}">
      <formula1>1</formula1>
      <formula2>5</formula2>
    </dataValidation>
    <dataValidation type="decimal" operator="greaterThan" allowBlank="1" error="Nhập số giây, lớn hơn 0" sqref="G6:G105" xr:uid="{00000000-0002-0000-0500-000004000000}">
      <formula1>0</formula1>
    </dataValidation>
  </dataValidations>
  <pageMargins left="0.4" right="0.4" top="0.5" bottom="0.5" header="0.5" footer="0.5"/>
  <pageSetup paperSize="9" fitToHeight="0" orientation="landscape"/>
  <extLst>
    <ext xmlns:x14="http://schemas.microsoft.com/office/spreadsheetml/2009/9/main" uri="{CCE6A557-97BC-4b89-ADB6-D9C93CAAB3DF}">
      <x14:dataValidations xmlns:xm="http://schemas.microsoft.com/office/excel/2006/main" count="1">
        <x14:dataValidation type="list" allowBlank="1" xr:uid="{00000000-0002-0000-0500-000000000000}">
          <x14:formula1>
            <xm:f>'Tổng hợp'!$A$6:$A$16</xm:f>
          </x14:formula1>
          <xm:sqref>E6:E105</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Q39"/>
  <sheetViews>
    <sheetView workbookViewId="0">
      <pane xSplit="3" ySplit="5" topLeftCell="D6" activePane="bottomRight" state="frozen"/>
      <selection pane="topRight"/>
      <selection pane="bottomLeft"/>
      <selection pane="bottomRight"/>
    </sheetView>
  </sheetViews>
  <sheetFormatPr defaultRowHeight="14.4"/>
  <cols>
    <col min="1" max="1" width="7" customWidth="1"/>
    <col min="2" max="2" width="13" customWidth="1"/>
    <col min="3" max="3" width="44" customWidth="1"/>
    <col min="4" max="4" width="10" customWidth="1"/>
    <col min="5" max="5" width="8" customWidth="1"/>
    <col min="6" max="8" width="9" customWidth="1"/>
    <col min="9" max="9" width="10" customWidth="1"/>
    <col min="10" max="10" width="9" customWidth="1"/>
    <col min="11" max="11" width="10" customWidth="1"/>
    <col min="12" max="16" width="9" customWidth="1"/>
    <col min="17" max="17" width="13" customWidth="1"/>
  </cols>
  <sheetData>
    <row r="1" spans="1:17" ht="19.2">
      <c r="A1" s="5" t="s">
        <v>191</v>
      </c>
    </row>
    <row r="2" spans="1:17">
      <c r="A2" s="6" t="s">
        <v>192</v>
      </c>
    </row>
    <row r="3" spans="1:17" ht="27.6">
      <c r="C3" s="24" t="s">
        <v>193</v>
      </c>
      <c r="D3" s="25">
        <v>0.8</v>
      </c>
    </row>
    <row r="5" spans="1:17" ht="41.4">
      <c r="A5" s="7" t="s">
        <v>64</v>
      </c>
      <c r="B5" s="7" t="s">
        <v>175</v>
      </c>
      <c r="C5" s="7" t="s">
        <v>65</v>
      </c>
      <c r="D5" s="7" t="s">
        <v>184</v>
      </c>
      <c r="E5" s="7" t="s">
        <v>194</v>
      </c>
      <c r="F5" s="7" t="s">
        <v>189</v>
      </c>
      <c r="G5" s="7" t="s">
        <v>195</v>
      </c>
      <c r="H5" s="7" t="s">
        <v>196</v>
      </c>
      <c r="I5" s="7" t="s">
        <v>197</v>
      </c>
      <c r="J5" s="7" t="s">
        <v>198</v>
      </c>
      <c r="K5" s="7" t="s">
        <v>199</v>
      </c>
      <c r="L5" s="7" t="s">
        <v>200</v>
      </c>
      <c r="M5" s="7" t="s">
        <v>201</v>
      </c>
      <c r="N5" s="7" t="s">
        <v>202</v>
      </c>
      <c r="O5" s="7" t="s">
        <v>203</v>
      </c>
      <c r="P5" s="7" t="s">
        <v>204</v>
      </c>
      <c r="Q5" s="7" t="s">
        <v>205</v>
      </c>
    </row>
    <row r="6" spans="1:17">
      <c r="A6" s="13" t="s">
        <v>75</v>
      </c>
      <c r="B6" s="26" t="s">
        <v>206</v>
      </c>
      <c r="C6" s="14" t="s">
        <v>207</v>
      </c>
      <c r="D6" s="10">
        <v>30</v>
      </c>
      <c r="E6" s="8">
        <f>COUNTIF('Bảng bấm giờ'!$E$6:$E$105,A6)</f>
        <v>0</v>
      </c>
      <c r="F6" s="8">
        <f>COUNTIFS('Bảng bấm giờ'!$E$6:$E$105,A6,'Bảng bấm giờ'!$I$6:$I$105,"Tự làm được")</f>
        <v>0</v>
      </c>
      <c r="G6" s="8">
        <f>COUNTIFS('Bảng bấm giờ'!$E$6:$E$105,A6,'Bảng bấm giờ'!$I$6:$I$105,"Cần trợ giúp")</f>
        <v>0</v>
      </c>
      <c r="H6" s="8">
        <f>COUNTIFS('Bảng bấm giờ'!$E$6:$E$105,A6,'Bảng bấm giờ'!$I$6:$I$105,"Không xong")</f>
        <v>0</v>
      </c>
      <c r="I6" s="27" t="str">
        <f t="shared" ref="I6:I16" si="0">IF(E6=0,"",F6/E6)</f>
        <v/>
      </c>
      <c r="J6" s="8">
        <f>SUMPRODUCT(('Bảng bấm giờ'!$E$6:$E$105=A6)*ISNUMBER('Bảng bấm giờ'!$M$6:$M$105))</f>
        <v>0</v>
      </c>
      <c r="K6" s="23" t="str">
        <f t="array" ref="K6">IF(J6=0,"",MEDIAN(IF(('Bảng bấm giờ'!$E$6:$E$105=A6)*ISNUMBER('Bảng bấm giờ'!$M$6:$M$105),'Bảng bấm giờ'!$M$6:$M$105)))</f>
        <v/>
      </c>
      <c r="L6" s="23" t="str">
        <f t="array" ref="L6">IF(J6=0,"",MIN(IF(('Bảng bấm giờ'!$E$6:$E$105=A6)*ISNUMBER('Bảng bấm giờ'!$M$6:$M$105),'Bảng bấm giờ'!$M$6:$M$105)))</f>
        <v/>
      </c>
      <c r="M6" s="23" t="str">
        <f t="array" ref="M6">IF(J6=0,"",MAX(IF(('Bảng bấm giờ'!$E$6:$E$105=A6)*ISNUMBER('Bảng bấm giờ'!$M$6:$M$105),'Bảng bấm giờ'!$M$6:$M$105)))</f>
        <v/>
      </c>
      <c r="N6" s="8">
        <f>IF(D6="","",COUNTIFS('Bảng bấm giờ'!$E$6:$E$105,A6,'Bảng bấm giờ'!$O$6:$O$105,"Đạt"))</f>
        <v>0</v>
      </c>
      <c r="O6" s="27" t="str">
        <f t="shared" ref="O6:O16" si="1">IF(OR(D6="",E6=0),"",N6/E6)</f>
        <v/>
      </c>
      <c r="P6" s="23" t="str">
        <f>IFERROR(AVERAGEIFS('Bảng bấm giờ'!$K$6:$K$105,'Bảng bấm giờ'!$E$6:$E$105,A6),"")</f>
        <v/>
      </c>
      <c r="Q6" s="15" t="str">
        <f t="shared" ref="Q6:Q16" si="2">IF(E6=0,"Chưa thử",IF(D6="",IF(I6&gt;=$D$3,"Ổn","Cần sửa"),IF(AND(K6&lt;&gt;"",K6&lt;=D6,I6&gt;=$D$3),"ĐẠT","CHƯA ĐẠT")))</f>
        <v>Chưa thử</v>
      </c>
    </row>
    <row r="7" spans="1:17">
      <c r="A7" s="15" t="s">
        <v>83</v>
      </c>
      <c r="B7" s="8" t="s">
        <v>206</v>
      </c>
      <c r="C7" s="9" t="s">
        <v>84</v>
      </c>
      <c r="D7" s="10"/>
      <c r="E7" s="8">
        <f>COUNTIF('Bảng bấm giờ'!$E$6:$E$105,A7)</f>
        <v>0</v>
      </c>
      <c r="F7" s="8">
        <f>COUNTIFS('Bảng bấm giờ'!$E$6:$E$105,A7,'Bảng bấm giờ'!$I$6:$I$105,"Tự làm được")</f>
        <v>0</v>
      </c>
      <c r="G7" s="8">
        <f>COUNTIFS('Bảng bấm giờ'!$E$6:$E$105,A7,'Bảng bấm giờ'!$I$6:$I$105,"Cần trợ giúp")</f>
        <v>0</v>
      </c>
      <c r="H7" s="8">
        <f>COUNTIFS('Bảng bấm giờ'!$E$6:$E$105,A7,'Bảng bấm giờ'!$I$6:$I$105,"Không xong")</f>
        <v>0</v>
      </c>
      <c r="I7" s="27" t="str">
        <f t="shared" si="0"/>
        <v/>
      </c>
      <c r="J7" s="8">
        <f>SUMPRODUCT(('Bảng bấm giờ'!$E$6:$E$105=A7)*ISNUMBER('Bảng bấm giờ'!$M$6:$M$105))</f>
        <v>0</v>
      </c>
      <c r="K7" s="23" t="str">
        <f t="array" ref="K7">IF(J7=0,"",MEDIAN(IF(('Bảng bấm giờ'!$E$6:$E$105=A7)*ISNUMBER('Bảng bấm giờ'!$M$6:$M$105),'Bảng bấm giờ'!$M$6:$M$105)))</f>
        <v/>
      </c>
      <c r="L7" s="23" t="str">
        <f t="array" ref="L7">IF(J7=0,"",MIN(IF(('Bảng bấm giờ'!$E$6:$E$105=A7)*ISNUMBER('Bảng bấm giờ'!$M$6:$M$105),'Bảng bấm giờ'!$M$6:$M$105)))</f>
        <v/>
      </c>
      <c r="M7" s="23" t="str">
        <f t="array" ref="M7">IF(J7=0,"",MAX(IF(('Bảng bấm giờ'!$E$6:$E$105=A7)*ISNUMBER('Bảng bấm giờ'!$M$6:$M$105),'Bảng bấm giờ'!$M$6:$M$105)))</f>
        <v/>
      </c>
      <c r="N7" s="8" t="str">
        <f>IF(D7="","",COUNTIFS('Bảng bấm giờ'!$E$6:$E$105,A7,'Bảng bấm giờ'!$O$6:$O$105,"Đạt"))</f>
        <v/>
      </c>
      <c r="O7" s="27" t="str">
        <f t="shared" si="1"/>
        <v/>
      </c>
      <c r="P7" s="23" t="str">
        <f>IFERROR(AVERAGEIFS('Bảng bấm giờ'!$K$6:$K$105,'Bảng bấm giờ'!$E$6:$E$105,A7),"")</f>
        <v/>
      </c>
      <c r="Q7" s="15" t="str">
        <f t="shared" si="2"/>
        <v>Chưa thử</v>
      </c>
    </row>
    <row r="8" spans="1:17">
      <c r="A8" s="15" t="s">
        <v>91</v>
      </c>
      <c r="B8" s="8" t="s">
        <v>206</v>
      </c>
      <c r="C8" s="9" t="s">
        <v>92</v>
      </c>
      <c r="D8" s="10"/>
      <c r="E8" s="8">
        <f>COUNTIF('Bảng bấm giờ'!$E$6:$E$105,A8)</f>
        <v>0</v>
      </c>
      <c r="F8" s="8">
        <f>COUNTIFS('Bảng bấm giờ'!$E$6:$E$105,A8,'Bảng bấm giờ'!$I$6:$I$105,"Tự làm được")</f>
        <v>0</v>
      </c>
      <c r="G8" s="8">
        <f>COUNTIFS('Bảng bấm giờ'!$E$6:$E$105,A8,'Bảng bấm giờ'!$I$6:$I$105,"Cần trợ giúp")</f>
        <v>0</v>
      </c>
      <c r="H8" s="8">
        <f>COUNTIFS('Bảng bấm giờ'!$E$6:$E$105,A8,'Bảng bấm giờ'!$I$6:$I$105,"Không xong")</f>
        <v>0</v>
      </c>
      <c r="I8" s="27" t="str">
        <f t="shared" si="0"/>
        <v/>
      </c>
      <c r="J8" s="8">
        <f>SUMPRODUCT(('Bảng bấm giờ'!$E$6:$E$105=A8)*ISNUMBER('Bảng bấm giờ'!$M$6:$M$105))</f>
        <v>0</v>
      </c>
      <c r="K8" s="23" t="str">
        <f t="array" ref="K8">IF(J8=0,"",MEDIAN(IF(('Bảng bấm giờ'!$E$6:$E$105=A8)*ISNUMBER('Bảng bấm giờ'!$M$6:$M$105),'Bảng bấm giờ'!$M$6:$M$105)))</f>
        <v/>
      </c>
      <c r="L8" s="23" t="str">
        <f t="array" ref="L8">IF(J8=0,"",MIN(IF(('Bảng bấm giờ'!$E$6:$E$105=A8)*ISNUMBER('Bảng bấm giờ'!$M$6:$M$105),'Bảng bấm giờ'!$M$6:$M$105)))</f>
        <v/>
      </c>
      <c r="M8" s="23" t="str">
        <f t="array" ref="M8">IF(J8=0,"",MAX(IF(('Bảng bấm giờ'!$E$6:$E$105=A8)*ISNUMBER('Bảng bấm giờ'!$M$6:$M$105),'Bảng bấm giờ'!$M$6:$M$105)))</f>
        <v/>
      </c>
      <c r="N8" s="8" t="str">
        <f>IF(D8="","",COUNTIFS('Bảng bấm giờ'!$E$6:$E$105,A8,'Bảng bấm giờ'!$O$6:$O$105,"Đạt"))</f>
        <v/>
      </c>
      <c r="O8" s="27" t="str">
        <f t="shared" si="1"/>
        <v/>
      </c>
      <c r="P8" s="23" t="str">
        <f>IFERROR(AVERAGEIFS('Bảng bấm giờ'!$K$6:$K$105,'Bảng bấm giờ'!$E$6:$E$105,A8),"")</f>
        <v/>
      </c>
      <c r="Q8" s="15" t="str">
        <f t="shared" si="2"/>
        <v>Chưa thử</v>
      </c>
    </row>
    <row r="9" spans="1:17">
      <c r="A9" s="15" t="s">
        <v>98</v>
      </c>
      <c r="B9" s="8" t="s">
        <v>206</v>
      </c>
      <c r="C9" s="9" t="s">
        <v>99</v>
      </c>
      <c r="D9" s="10"/>
      <c r="E9" s="8">
        <f>COUNTIF('Bảng bấm giờ'!$E$6:$E$105,A9)</f>
        <v>0</v>
      </c>
      <c r="F9" s="8">
        <f>COUNTIFS('Bảng bấm giờ'!$E$6:$E$105,A9,'Bảng bấm giờ'!$I$6:$I$105,"Tự làm được")</f>
        <v>0</v>
      </c>
      <c r="G9" s="8">
        <f>COUNTIFS('Bảng bấm giờ'!$E$6:$E$105,A9,'Bảng bấm giờ'!$I$6:$I$105,"Cần trợ giúp")</f>
        <v>0</v>
      </c>
      <c r="H9" s="8">
        <f>COUNTIFS('Bảng bấm giờ'!$E$6:$E$105,A9,'Bảng bấm giờ'!$I$6:$I$105,"Không xong")</f>
        <v>0</v>
      </c>
      <c r="I9" s="27" t="str">
        <f t="shared" si="0"/>
        <v/>
      </c>
      <c r="J9" s="8">
        <f>SUMPRODUCT(('Bảng bấm giờ'!$E$6:$E$105=A9)*ISNUMBER('Bảng bấm giờ'!$M$6:$M$105))</f>
        <v>0</v>
      </c>
      <c r="K9" s="23" t="str">
        <f t="array" ref="K9">IF(J9=0,"",MEDIAN(IF(('Bảng bấm giờ'!$E$6:$E$105=A9)*ISNUMBER('Bảng bấm giờ'!$M$6:$M$105),'Bảng bấm giờ'!$M$6:$M$105)))</f>
        <v/>
      </c>
      <c r="L9" s="23" t="str">
        <f t="array" ref="L9">IF(J9=0,"",MIN(IF(('Bảng bấm giờ'!$E$6:$E$105=A9)*ISNUMBER('Bảng bấm giờ'!$M$6:$M$105),'Bảng bấm giờ'!$M$6:$M$105)))</f>
        <v/>
      </c>
      <c r="M9" s="23" t="str">
        <f t="array" ref="M9">IF(J9=0,"",MAX(IF(('Bảng bấm giờ'!$E$6:$E$105=A9)*ISNUMBER('Bảng bấm giờ'!$M$6:$M$105),'Bảng bấm giờ'!$M$6:$M$105)))</f>
        <v/>
      </c>
      <c r="N9" s="8" t="str">
        <f>IF(D9="","",COUNTIFS('Bảng bấm giờ'!$E$6:$E$105,A9,'Bảng bấm giờ'!$O$6:$O$105,"Đạt"))</f>
        <v/>
      </c>
      <c r="O9" s="27" t="str">
        <f t="shared" si="1"/>
        <v/>
      </c>
      <c r="P9" s="23" t="str">
        <f>IFERROR(AVERAGEIFS('Bảng bấm giờ'!$K$6:$K$105,'Bảng bấm giờ'!$E$6:$E$105,A9),"")</f>
        <v/>
      </c>
      <c r="Q9" s="15" t="str">
        <f t="shared" si="2"/>
        <v>Chưa thử</v>
      </c>
    </row>
    <row r="10" spans="1:17">
      <c r="A10" s="13" t="s">
        <v>113</v>
      </c>
      <c r="B10" s="26" t="s">
        <v>53</v>
      </c>
      <c r="C10" s="14" t="s">
        <v>208</v>
      </c>
      <c r="D10" s="10">
        <v>120</v>
      </c>
      <c r="E10" s="8">
        <f>COUNTIF('Bảng bấm giờ'!$E$6:$E$105,A10)</f>
        <v>0</v>
      </c>
      <c r="F10" s="8">
        <f>COUNTIFS('Bảng bấm giờ'!$E$6:$E$105,A10,'Bảng bấm giờ'!$I$6:$I$105,"Tự làm được")</f>
        <v>0</v>
      </c>
      <c r="G10" s="8">
        <f>COUNTIFS('Bảng bấm giờ'!$E$6:$E$105,A10,'Bảng bấm giờ'!$I$6:$I$105,"Cần trợ giúp")</f>
        <v>0</v>
      </c>
      <c r="H10" s="8">
        <f>COUNTIFS('Bảng bấm giờ'!$E$6:$E$105,A10,'Bảng bấm giờ'!$I$6:$I$105,"Không xong")</f>
        <v>0</v>
      </c>
      <c r="I10" s="27" t="str">
        <f t="shared" si="0"/>
        <v/>
      </c>
      <c r="J10" s="8">
        <f>SUMPRODUCT(('Bảng bấm giờ'!$E$6:$E$105=A10)*ISNUMBER('Bảng bấm giờ'!$M$6:$M$105))</f>
        <v>0</v>
      </c>
      <c r="K10" s="23" t="str">
        <f t="array" ref="K10">IF(J10=0,"",MEDIAN(IF(('Bảng bấm giờ'!$E$6:$E$105=A10)*ISNUMBER('Bảng bấm giờ'!$M$6:$M$105),'Bảng bấm giờ'!$M$6:$M$105)))</f>
        <v/>
      </c>
      <c r="L10" s="23" t="str">
        <f t="array" ref="L10">IF(J10=0,"",MIN(IF(('Bảng bấm giờ'!$E$6:$E$105=A10)*ISNUMBER('Bảng bấm giờ'!$M$6:$M$105),'Bảng bấm giờ'!$M$6:$M$105)))</f>
        <v/>
      </c>
      <c r="M10" s="23" t="str">
        <f t="array" ref="M10">IF(J10=0,"",MAX(IF(('Bảng bấm giờ'!$E$6:$E$105=A10)*ISNUMBER('Bảng bấm giờ'!$M$6:$M$105),'Bảng bấm giờ'!$M$6:$M$105)))</f>
        <v/>
      </c>
      <c r="N10" s="8">
        <f>IF(D10="","",COUNTIFS('Bảng bấm giờ'!$E$6:$E$105,A10,'Bảng bấm giờ'!$O$6:$O$105,"Đạt"))</f>
        <v>0</v>
      </c>
      <c r="O10" s="27" t="str">
        <f t="shared" si="1"/>
        <v/>
      </c>
      <c r="P10" s="23" t="str">
        <f>IFERROR(AVERAGEIFS('Bảng bấm giờ'!$K$6:$K$105,'Bảng bấm giờ'!$E$6:$E$105,A10),"")</f>
        <v/>
      </c>
      <c r="Q10" s="15" t="str">
        <f t="shared" si="2"/>
        <v>Chưa thử</v>
      </c>
    </row>
    <row r="11" spans="1:17">
      <c r="A11" s="15" t="s">
        <v>121</v>
      </c>
      <c r="B11" s="8" t="s">
        <v>53</v>
      </c>
      <c r="C11" s="9" t="s">
        <v>122</v>
      </c>
      <c r="D11" s="10"/>
      <c r="E11" s="8">
        <f>COUNTIF('Bảng bấm giờ'!$E$6:$E$105,A11)</f>
        <v>0</v>
      </c>
      <c r="F11" s="8">
        <f>COUNTIFS('Bảng bấm giờ'!$E$6:$E$105,A11,'Bảng bấm giờ'!$I$6:$I$105,"Tự làm được")</f>
        <v>0</v>
      </c>
      <c r="G11" s="8">
        <f>COUNTIFS('Bảng bấm giờ'!$E$6:$E$105,A11,'Bảng bấm giờ'!$I$6:$I$105,"Cần trợ giúp")</f>
        <v>0</v>
      </c>
      <c r="H11" s="8">
        <f>COUNTIFS('Bảng bấm giờ'!$E$6:$E$105,A11,'Bảng bấm giờ'!$I$6:$I$105,"Không xong")</f>
        <v>0</v>
      </c>
      <c r="I11" s="27" t="str">
        <f t="shared" si="0"/>
        <v/>
      </c>
      <c r="J11" s="8">
        <f>SUMPRODUCT(('Bảng bấm giờ'!$E$6:$E$105=A11)*ISNUMBER('Bảng bấm giờ'!$M$6:$M$105))</f>
        <v>0</v>
      </c>
      <c r="K11" s="23" t="str">
        <f t="array" ref="K11">IF(J11=0,"",MEDIAN(IF(('Bảng bấm giờ'!$E$6:$E$105=A11)*ISNUMBER('Bảng bấm giờ'!$M$6:$M$105),'Bảng bấm giờ'!$M$6:$M$105)))</f>
        <v/>
      </c>
      <c r="L11" s="23" t="str">
        <f t="array" ref="L11">IF(J11=0,"",MIN(IF(('Bảng bấm giờ'!$E$6:$E$105=A11)*ISNUMBER('Bảng bấm giờ'!$M$6:$M$105),'Bảng bấm giờ'!$M$6:$M$105)))</f>
        <v/>
      </c>
      <c r="M11" s="23" t="str">
        <f t="array" ref="M11">IF(J11=0,"",MAX(IF(('Bảng bấm giờ'!$E$6:$E$105=A11)*ISNUMBER('Bảng bấm giờ'!$M$6:$M$105),'Bảng bấm giờ'!$M$6:$M$105)))</f>
        <v/>
      </c>
      <c r="N11" s="8" t="str">
        <f>IF(D11="","",COUNTIFS('Bảng bấm giờ'!$E$6:$E$105,A11,'Bảng bấm giờ'!$O$6:$O$105,"Đạt"))</f>
        <v/>
      </c>
      <c r="O11" s="27" t="str">
        <f t="shared" si="1"/>
        <v/>
      </c>
      <c r="P11" s="23" t="str">
        <f>IFERROR(AVERAGEIFS('Bảng bấm giờ'!$K$6:$K$105,'Bảng bấm giờ'!$E$6:$E$105,A11),"")</f>
        <v/>
      </c>
      <c r="Q11" s="15" t="str">
        <f t="shared" si="2"/>
        <v>Chưa thử</v>
      </c>
    </row>
    <row r="12" spans="1:17">
      <c r="A12" s="15" t="s">
        <v>128</v>
      </c>
      <c r="B12" s="8" t="s">
        <v>53</v>
      </c>
      <c r="C12" s="9" t="s">
        <v>129</v>
      </c>
      <c r="D12" s="10"/>
      <c r="E12" s="8">
        <f>COUNTIF('Bảng bấm giờ'!$E$6:$E$105,A12)</f>
        <v>0</v>
      </c>
      <c r="F12" s="8">
        <f>COUNTIFS('Bảng bấm giờ'!$E$6:$E$105,A12,'Bảng bấm giờ'!$I$6:$I$105,"Tự làm được")</f>
        <v>0</v>
      </c>
      <c r="G12" s="8">
        <f>COUNTIFS('Bảng bấm giờ'!$E$6:$E$105,A12,'Bảng bấm giờ'!$I$6:$I$105,"Cần trợ giúp")</f>
        <v>0</v>
      </c>
      <c r="H12" s="8">
        <f>COUNTIFS('Bảng bấm giờ'!$E$6:$E$105,A12,'Bảng bấm giờ'!$I$6:$I$105,"Không xong")</f>
        <v>0</v>
      </c>
      <c r="I12" s="27" t="str">
        <f t="shared" si="0"/>
        <v/>
      </c>
      <c r="J12" s="8">
        <f>SUMPRODUCT(('Bảng bấm giờ'!$E$6:$E$105=A12)*ISNUMBER('Bảng bấm giờ'!$M$6:$M$105))</f>
        <v>0</v>
      </c>
      <c r="K12" s="23" t="str">
        <f t="array" ref="K12">IF(J12=0,"",MEDIAN(IF(('Bảng bấm giờ'!$E$6:$E$105=A12)*ISNUMBER('Bảng bấm giờ'!$M$6:$M$105),'Bảng bấm giờ'!$M$6:$M$105)))</f>
        <v/>
      </c>
      <c r="L12" s="23" t="str">
        <f t="array" ref="L12">IF(J12=0,"",MIN(IF(('Bảng bấm giờ'!$E$6:$E$105=A12)*ISNUMBER('Bảng bấm giờ'!$M$6:$M$105),'Bảng bấm giờ'!$M$6:$M$105)))</f>
        <v/>
      </c>
      <c r="M12" s="23" t="str">
        <f t="array" ref="M12">IF(J12=0,"",MAX(IF(('Bảng bấm giờ'!$E$6:$E$105=A12)*ISNUMBER('Bảng bấm giờ'!$M$6:$M$105),'Bảng bấm giờ'!$M$6:$M$105)))</f>
        <v/>
      </c>
      <c r="N12" s="8" t="str">
        <f>IF(D12="","",COUNTIFS('Bảng bấm giờ'!$E$6:$E$105,A12,'Bảng bấm giờ'!$O$6:$O$105,"Đạt"))</f>
        <v/>
      </c>
      <c r="O12" s="27" t="str">
        <f t="shared" si="1"/>
        <v/>
      </c>
      <c r="P12" s="23" t="str">
        <f>IFERROR(AVERAGEIFS('Bảng bấm giờ'!$K$6:$K$105,'Bảng bấm giờ'!$E$6:$E$105,A12),"")</f>
        <v/>
      </c>
      <c r="Q12" s="15" t="str">
        <f t="shared" si="2"/>
        <v>Chưa thử</v>
      </c>
    </row>
    <row r="13" spans="1:17">
      <c r="A13" s="15" t="s">
        <v>134</v>
      </c>
      <c r="B13" s="8" t="s">
        <v>53</v>
      </c>
      <c r="C13" s="9" t="s">
        <v>135</v>
      </c>
      <c r="D13" s="10"/>
      <c r="E13" s="8">
        <f>COUNTIF('Bảng bấm giờ'!$E$6:$E$105,A13)</f>
        <v>0</v>
      </c>
      <c r="F13" s="8">
        <f>COUNTIFS('Bảng bấm giờ'!$E$6:$E$105,A13,'Bảng bấm giờ'!$I$6:$I$105,"Tự làm được")</f>
        <v>0</v>
      </c>
      <c r="G13" s="8">
        <f>COUNTIFS('Bảng bấm giờ'!$E$6:$E$105,A13,'Bảng bấm giờ'!$I$6:$I$105,"Cần trợ giúp")</f>
        <v>0</v>
      </c>
      <c r="H13" s="8">
        <f>COUNTIFS('Bảng bấm giờ'!$E$6:$E$105,A13,'Bảng bấm giờ'!$I$6:$I$105,"Không xong")</f>
        <v>0</v>
      </c>
      <c r="I13" s="27" t="str">
        <f t="shared" si="0"/>
        <v/>
      </c>
      <c r="J13" s="8">
        <f>SUMPRODUCT(('Bảng bấm giờ'!$E$6:$E$105=A13)*ISNUMBER('Bảng bấm giờ'!$M$6:$M$105))</f>
        <v>0</v>
      </c>
      <c r="K13" s="23" t="str">
        <f t="array" ref="K13">IF(J13=0,"",MEDIAN(IF(('Bảng bấm giờ'!$E$6:$E$105=A13)*ISNUMBER('Bảng bấm giờ'!$M$6:$M$105),'Bảng bấm giờ'!$M$6:$M$105)))</f>
        <v/>
      </c>
      <c r="L13" s="23" t="str">
        <f t="array" ref="L13">IF(J13=0,"",MIN(IF(('Bảng bấm giờ'!$E$6:$E$105=A13)*ISNUMBER('Bảng bấm giờ'!$M$6:$M$105),'Bảng bấm giờ'!$M$6:$M$105)))</f>
        <v/>
      </c>
      <c r="M13" s="23" t="str">
        <f t="array" ref="M13">IF(J13=0,"",MAX(IF(('Bảng bấm giờ'!$E$6:$E$105=A13)*ISNUMBER('Bảng bấm giờ'!$M$6:$M$105),'Bảng bấm giờ'!$M$6:$M$105)))</f>
        <v/>
      </c>
      <c r="N13" s="8" t="str">
        <f>IF(D13="","",COUNTIFS('Bảng bấm giờ'!$E$6:$E$105,A13,'Bảng bấm giờ'!$O$6:$O$105,"Đạt"))</f>
        <v/>
      </c>
      <c r="O13" s="27" t="str">
        <f t="shared" si="1"/>
        <v/>
      </c>
      <c r="P13" s="23" t="str">
        <f>IFERROR(AVERAGEIFS('Bảng bấm giờ'!$K$6:$K$105,'Bảng bấm giờ'!$E$6:$E$105,A13),"")</f>
        <v/>
      </c>
      <c r="Q13" s="15" t="str">
        <f t="shared" si="2"/>
        <v>Chưa thử</v>
      </c>
    </row>
    <row r="14" spans="1:17">
      <c r="A14" s="13" t="s">
        <v>148</v>
      </c>
      <c r="B14" s="26" t="s">
        <v>51</v>
      </c>
      <c r="C14" s="14" t="s">
        <v>209</v>
      </c>
      <c r="D14" s="10">
        <v>15</v>
      </c>
      <c r="E14" s="8">
        <f>COUNTIF('Bảng bấm giờ'!$E$6:$E$105,A14)</f>
        <v>0</v>
      </c>
      <c r="F14" s="8">
        <f>COUNTIFS('Bảng bấm giờ'!$E$6:$E$105,A14,'Bảng bấm giờ'!$I$6:$I$105,"Tự làm được")</f>
        <v>0</v>
      </c>
      <c r="G14" s="8">
        <f>COUNTIFS('Bảng bấm giờ'!$E$6:$E$105,A14,'Bảng bấm giờ'!$I$6:$I$105,"Cần trợ giúp")</f>
        <v>0</v>
      </c>
      <c r="H14" s="8">
        <f>COUNTIFS('Bảng bấm giờ'!$E$6:$E$105,A14,'Bảng bấm giờ'!$I$6:$I$105,"Không xong")</f>
        <v>0</v>
      </c>
      <c r="I14" s="27" t="str">
        <f t="shared" si="0"/>
        <v/>
      </c>
      <c r="J14" s="8">
        <f>SUMPRODUCT(('Bảng bấm giờ'!$E$6:$E$105=A14)*ISNUMBER('Bảng bấm giờ'!$M$6:$M$105))</f>
        <v>0</v>
      </c>
      <c r="K14" s="23" t="str">
        <f t="array" ref="K14">IF(J14=0,"",MEDIAN(IF(('Bảng bấm giờ'!$E$6:$E$105=A14)*ISNUMBER('Bảng bấm giờ'!$M$6:$M$105),'Bảng bấm giờ'!$M$6:$M$105)))</f>
        <v/>
      </c>
      <c r="L14" s="23" t="str">
        <f t="array" ref="L14">IF(J14=0,"",MIN(IF(('Bảng bấm giờ'!$E$6:$E$105=A14)*ISNUMBER('Bảng bấm giờ'!$M$6:$M$105),'Bảng bấm giờ'!$M$6:$M$105)))</f>
        <v/>
      </c>
      <c r="M14" s="23" t="str">
        <f t="array" ref="M14">IF(J14=0,"",MAX(IF(('Bảng bấm giờ'!$E$6:$E$105=A14)*ISNUMBER('Bảng bấm giờ'!$M$6:$M$105),'Bảng bấm giờ'!$M$6:$M$105)))</f>
        <v/>
      </c>
      <c r="N14" s="8">
        <f>IF(D14="","",COUNTIFS('Bảng bấm giờ'!$E$6:$E$105,A14,'Bảng bấm giờ'!$O$6:$O$105,"Đạt"))</f>
        <v>0</v>
      </c>
      <c r="O14" s="27" t="str">
        <f t="shared" si="1"/>
        <v/>
      </c>
      <c r="P14" s="23" t="str">
        <f>IFERROR(AVERAGEIFS('Bảng bấm giờ'!$K$6:$K$105,'Bảng bấm giờ'!$E$6:$E$105,A14),"")</f>
        <v/>
      </c>
      <c r="Q14" s="15" t="str">
        <f t="shared" si="2"/>
        <v>Chưa thử</v>
      </c>
    </row>
    <row r="15" spans="1:17">
      <c r="A15" s="15" t="s">
        <v>156</v>
      </c>
      <c r="B15" s="8" t="s">
        <v>51</v>
      </c>
      <c r="C15" s="9" t="s">
        <v>157</v>
      </c>
      <c r="D15" s="10"/>
      <c r="E15" s="8">
        <f>COUNTIF('Bảng bấm giờ'!$E$6:$E$105,A15)</f>
        <v>0</v>
      </c>
      <c r="F15" s="8">
        <f>COUNTIFS('Bảng bấm giờ'!$E$6:$E$105,A15,'Bảng bấm giờ'!$I$6:$I$105,"Tự làm được")</f>
        <v>0</v>
      </c>
      <c r="G15" s="8">
        <f>COUNTIFS('Bảng bấm giờ'!$E$6:$E$105,A15,'Bảng bấm giờ'!$I$6:$I$105,"Cần trợ giúp")</f>
        <v>0</v>
      </c>
      <c r="H15" s="8">
        <f>COUNTIFS('Bảng bấm giờ'!$E$6:$E$105,A15,'Bảng bấm giờ'!$I$6:$I$105,"Không xong")</f>
        <v>0</v>
      </c>
      <c r="I15" s="27" t="str">
        <f t="shared" si="0"/>
        <v/>
      </c>
      <c r="J15" s="8">
        <f>SUMPRODUCT(('Bảng bấm giờ'!$E$6:$E$105=A15)*ISNUMBER('Bảng bấm giờ'!$M$6:$M$105))</f>
        <v>0</v>
      </c>
      <c r="K15" s="23" t="str">
        <f t="array" ref="K15">IF(J15=0,"",MEDIAN(IF(('Bảng bấm giờ'!$E$6:$E$105=A15)*ISNUMBER('Bảng bấm giờ'!$M$6:$M$105),'Bảng bấm giờ'!$M$6:$M$105)))</f>
        <v/>
      </c>
      <c r="L15" s="23" t="str">
        <f t="array" ref="L15">IF(J15=0,"",MIN(IF(('Bảng bấm giờ'!$E$6:$E$105=A15)*ISNUMBER('Bảng bấm giờ'!$M$6:$M$105),'Bảng bấm giờ'!$M$6:$M$105)))</f>
        <v/>
      </c>
      <c r="M15" s="23" t="str">
        <f t="array" ref="M15">IF(J15=0,"",MAX(IF(('Bảng bấm giờ'!$E$6:$E$105=A15)*ISNUMBER('Bảng bấm giờ'!$M$6:$M$105),'Bảng bấm giờ'!$M$6:$M$105)))</f>
        <v/>
      </c>
      <c r="N15" s="8" t="str">
        <f>IF(D15="","",COUNTIFS('Bảng bấm giờ'!$E$6:$E$105,A15,'Bảng bấm giờ'!$O$6:$O$105,"Đạt"))</f>
        <v/>
      </c>
      <c r="O15" s="27" t="str">
        <f t="shared" si="1"/>
        <v/>
      </c>
      <c r="P15" s="23" t="str">
        <f>IFERROR(AVERAGEIFS('Bảng bấm giờ'!$K$6:$K$105,'Bảng bấm giờ'!$E$6:$E$105,A15),"")</f>
        <v/>
      </c>
      <c r="Q15" s="15" t="str">
        <f t="shared" si="2"/>
        <v>Chưa thử</v>
      </c>
    </row>
    <row r="16" spans="1:17">
      <c r="A16" s="15" t="s">
        <v>163</v>
      </c>
      <c r="B16" s="8" t="s">
        <v>51</v>
      </c>
      <c r="C16" s="9" t="s">
        <v>164</v>
      </c>
      <c r="D16" s="10"/>
      <c r="E16" s="8">
        <f>COUNTIF('Bảng bấm giờ'!$E$6:$E$105,A16)</f>
        <v>0</v>
      </c>
      <c r="F16" s="8">
        <f>COUNTIFS('Bảng bấm giờ'!$E$6:$E$105,A16,'Bảng bấm giờ'!$I$6:$I$105,"Tự làm được")</f>
        <v>0</v>
      </c>
      <c r="G16" s="8">
        <f>COUNTIFS('Bảng bấm giờ'!$E$6:$E$105,A16,'Bảng bấm giờ'!$I$6:$I$105,"Cần trợ giúp")</f>
        <v>0</v>
      </c>
      <c r="H16" s="8">
        <f>COUNTIFS('Bảng bấm giờ'!$E$6:$E$105,A16,'Bảng bấm giờ'!$I$6:$I$105,"Không xong")</f>
        <v>0</v>
      </c>
      <c r="I16" s="27" t="str">
        <f t="shared" si="0"/>
        <v/>
      </c>
      <c r="J16" s="8">
        <f>SUMPRODUCT(('Bảng bấm giờ'!$E$6:$E$105=A16)*ISNUMBER('Bảng bấm giờ'!$M$6:$M$105))</f>
        <v>0</v>
      </c>
      <c r="K16" s="23" t="str">
        <f t="array" ref="K16">IF(J16=0,"",MEDIAN(IF(('Bảng bấm giờ'!$E$6:$E$105=A16)*ISNUMBER('Bảng bấm giờ'!$M$6:$M$105),'Bảng bấm giờ'!$M$6:$M$105)))</f>
        <v/>
      </c>
      <c r="L16" s="23" t="str">
        <f t="array" ref="L16">IF(J16=0,"",MIN(IF(('Bảng bấm giờ'!$E$6:$E$105=A16)*ISNUMBER('Bảng bấm giờ'!$M$6:$M$105),'Bảng bấm giờ'!$M$6:$M$105)))</f>
        <v/>
      </c>
      <c r="M16" s="23" t="str">
        <f t="array" ref="M16">IF(J16=0,"",MAX(IF(('Bảng bấm giờ'!$E$6:$E$105=A16)*ISNUMBER('Bảng bấm giờ'!$M$6:$M$105),'Bảng bấm giờ'!$M$6:$M$105)))</f>
        <v/>
      </c>
      <c r="N16" s="8" t="str">
        <f>IF(D16="","",COUNTIFS('Bảng bấm giờ'!$E$6:$E$105,A16,'Bảng bấm giờ'!$O$6:$O$105,"Đạt"))</f>
        <v/>
      </c>
      <c r="O16" s="27" t="str">
        <f t="shared" si="1"/>
        <v/>
      </c>
      <c r="P16" s="23" t="str">
        <f>IFERROR(AVERAGEIFS('Bảng bấm giờ'!$K$6:$K$105,'Bảng bấm giờ'!$E$6:$E$105,A16),"")</f>
        <v/>
      </c>
      <c r="Q16" s="15" t="str">
        <f t="shared" si="2"/>
        <v>Chưa thử</v>
      </c>
    </row>
    <row r="18" spans="1:17" ht="15.6">
      <c r="A18" s="16" t="s">
        <v>210</v>
      </c>
    </row>
    <row r="19" spans="1:17" ht="30" customHeight="1">
      <c r="A19" s="17" t="s">
        <v>105</v>
      </c>
      <c r="B19" s="28" t="s">
        <v>211</v>
      </c>
      <c r="C19" s="29"/>
      <c r="D19" s="29"/>
      <c r="E19" s="29"/>
      <c r="F19" s="29"/>
      <c r="G19" s="29"/>
      <c r="H19" s="29"/>
      <c r="I19" s="29"/>
      <c r="J19" s="29"/>
      <c r="K19" s="29"/>
      <c r="L19" s="29"/>
      <c r="M19" s="29"/>
      <c r="N19" s="29"/>
      <c r="O19" s="29"/>
      <c r="P19" s="29"/>
      <c r="Q19" s="29"/>
    </row>
    <row r="20" spans="1:17" ht="30" customHeight="1">
      <c r="A20" s="17" t="s">
        <v>105</v>
      </c>
      <c r="B20" s="28" t="s">
        <v>212</v>
      </c>
      <c r="C20" s="29"/>
      <c r="D20" s="29"/>
      <c r="E20" s="29"/>
      <c r="F20" s="29"/>
      <c r="G20" s="29"/>
      <c r="H20" s="29"/>
      <c r="I20" s="29"/>
      <c r="J20" s="29"/>
      <c r="K20" s="29"/>
      <c r="L20" s="29"/>
      <c r="M20" s="29"/>
      <c r="N20" s="29"/>
      <c r="O20" s="29"/>
      <c r="P20" s="29"/>
      <c r="Q20" s="29"/>
    </row>
    <row r="21" spans="1:17" ht="30" customHeight="1">
      <c r="A21" s="17" t="s">
        <v>105</v>
      </c>
      <c r="B21" s="28" t="s">
        <v>213</v>
      </c>
      <c r="C21" s="29"/>
      <c r="D21" s="29"/>
      <c r="E21" s="29"/>
      <c r="F21" s="29"/>
      <c r="G21" s="29"/>
      <c r="H21" s="29"/>
      <c r="I21" s="29"/>
      <c r="J21" s="29"/>
      <c r="K21" s="29"/>
      <c r="L21" s="29"/>
      <c r="M21" s="29"/>
      <c r="N21" s="29"/>
      <c r="O21" s="29"/>
      <c r="P21" s="29"/>
      <c r="Q21" s="29"/>
    </row>
    <row r="23" spans="1:17" ht="15.6">
      <c r="A23" s="16" t="s">
        <v>214</v>
      </c>
    </row>
    <row r="24" spans="1:17">
      <c r="A24" s="7" t="s">
        <v>64</v>
      </c>
      <c r="B24" s="7" t="s">
        <v>205</v>
      </c>
      <c r="C24" s="34" t="s">
        <v>215</v>
      </c>
      <c r="D24" s="31"/>
      <c r="E24" s="31"/>
      <c r="F24" s="31"/>
      <c r="G24" s="31"/>
      <c r="H24" s="31"/>
      <c r="I24" s="31"/>
      <c r="J24" s="31"/>
      <c r="K24" s="31"/>
      <c r="L24" s="31"/>
      <c r="M24" s="31"/>
      <c r="N24" s="31"/>
      <c r="O24" s="31"/>
      <c r="P24" s="31"/>
      <c r="Q24" s="32"/>
    </row>
    <row r="25" spans="1:17">
      <c r="A25" s="15" t="s">
        <v>75</v>
      </c>
      <c r="B25" s="8" t="str">
        <f t="shared" ref="B25:B31" si="3">IFERROR(INDEX($Q$6:$Q$16,MATCH(A25,$A$6:$A$16,0)),"")</f>
        <v>Chưa thử</v>
      </c>
      <c r="C25" s="30" t="s">
        <v>216</v>
      </c>
      <c r="D25" s="31"/>
      <c r="E25" s="31"/>
      <c r="F25" s="31"/>
      <c r="G25" s="31"/>
      <c r="H25" s="31"/>
      <c r="I25" s="31"/>
      <c r="J25" s="31"/>
      <c r="K25" s="31"/>
      <c r="L25" s="31"/>
      <c r="M25" s="31"/>
      <c r="N25" s="31"/>
      <c r="O25" s="31"/>
      <c r="P25" s="31"/>
      <c r="Q25" s="32"/>
    </row>
    <row r="26" spans="1:17">
      <c r="A26" s="15" t="s">
        <v>113</v>
      </c>
      <c r="B26" s="8" t="str">
        <f t="shared" si="3"/>
        <v>Chưa thử</v>
      </c>
      <c r="C26" s="30" t="s">
        <v>217</v>
      </c>
      <c r="D26" s="31"/>
      <c r="E26" s="31"/>
      <c r="F26" s="31"/>
      <c r="G26" s="31"/>
      <c r="H26" s="31"/>
      <c r="I26" s="31"/>
      <c r="J26" s="31"/>
      <c r="K26" s="31"/>
      <c r="L26" s="31"/>
      <c r="M26" s="31"/>
      <c r="N26" s="31"/>
      <c r="O26" s="31"/>
      <c r="P26" s="31"/>
      <c r="Q26" s="32"/>
    </row>
    <row r="27" spans="1:17">
      <c r="A27" s="15" t="s">
        <v>148</v>
      </c>
      <c r="B27" s="8" t="str">
        <f t="shared" si="3"/>
        <v>Chưa thử</v>
      </c>
      <c r="C27" s="30" t="s">
        <v>218</v>
      </c>
      <c r="D27" s="31"/>
      <c r="E27" s="31"/>
      <c r="F27" s="31"/>
      <c r="G27" s="31"/>
      <c r="H27" s="31"/>
      <c r="I27" s="31"/>
      <c r="J27" s="31"/>
      <c r="K27" s="31"/>
      <c r="L27" s="31"/>
      <c r="M27" s="31"/>
      <c r="N27" s="31"/>
      <c r="O27" s="31"/>
      <c r="P27" s="31"/>
      <c r="Q27" s="32"/>
    </row>
    <row r="28" spans="1:17">
      <c r="A28" s="15" t="s">
        <v>83</v>
      </c>
      <c r="B28" s="8" t="str">
        <f t="shared" si="3"/>
        <v>Chưa thử</v>
      </c>
      <c r="C28" s="30" t="s">
        <v>219</v>
      </c>
      <c r="D28" s="31"/>
      <c r="E28" s="31"/>
      <c r="F28" s="31"/>
      <c r="G28" s="31"/>
      <c r="H28" s="31"/>
      <c r="I28" s="31"/>
      <c r="J28" s="31"/>
      <c r="K28" s="31"/>
      <c r="L28" s="31"/>
      <c r="M28" s="31"/>
      <c r="N28" s="31"/>
      <c r="O28" s="31"/>
      <c r="P28" s="31"/>
      <c r="Q28" s="32"/>
    </row>
    <row r="29" spans="1:17">
      <c r="A29" s="15" t="s">
        <v>121</v>
      </c>
      <c r="B29" s="8" t="str">
        <f t="shared" si="3"/>
        <v>Chưa thử</v>
      </c>
      <c r="C29" s="30" t="s">
        <v>220</v>
      </c>
      <c r="D29" s="31"/>
      <c r="E29" s="31"/>
      <c r="F29" s="31"/>
      <c r="G29" s="31"/>
      <c r="H29" s="31"/>
      <c r="I29" s="31"/>
      <c r="J29" s="31"/>
      <c r="K29" s="31"/>
      <c r="L29" s="31"/>
      <c r="M29" s="31"/>
      <c r="N29" s="31"/>
      <c r="O29" s="31"/>
      <c r="P29" s="31"/>
      <c r="Q29" s="32"/>
    </row>
    <row r="30" spans="1:17">
      <c r="A30" s="15" t="s">
        <v>134</v>
      </c>
      <c r="B30" s="8" t="str">
        <f t="shared" si="3"/>
        <v>Chưa thử</v>
      </c>
      <c r="C30" s="30" t="s">
        <v>221</v>
      </c>
      <c r="D30" s="31"/>
      <c r="E30" s="31"/>
      <c r="F30" s="31"/>
      <c r="G30" s="31"/>
      <c r="H30" s="31"/>
      <c r="I30" s="31"/>
      <c r="J30" s="31"/>
      <c r="K30" s="31"/>
      <c r="L30" s="31"/>
      <c r="M30" s="31"/>
      <c r="N30" s="31"/>
      <c r="O30" s="31"/>
      <c r="P30" s="31"/>
      <c r="Q30" s="32"/>
    </row>
    <row r="31" spans="1:17">
      <c r="A31" s="15" t="s">
        <v>163</v>
      </c>
      <c r="B31" s="8" t="str">
        <f t="shared" si="3"/>
        <v>Chưa thử</v>
      </c>
      <c r="C31" s="30" t="s">
        <v>222</v>
      </c>
      <c r="D31" s="31"/>
      <c r="E31" s="31"/>
      <c r="F31" s="31"/>
      <c r="G31" s="31"/>
      <c r="H31" s="31"/>
      <c r="I31" s="31"/>
      <c r="J31" s="31"/>
      <c r="K31" s="31"/>
      <c r="L31" s="31"/>
      <c r="M31" s="31"/>
      <c r="N31" s="31"/>
      <c r="O31" s="31"/>
      <c r="P31" s="31"/>
      <c r="Q31" s="32"/>
    </row>
    <row r="33" spans="1:17" ht="15.6">
      <c r="A33" s="16" t="s">
        <v>223</v>
      </c>
    </row>
    <row r="34" spans="1:17" ht="27.6">
      <c r="A34" s="7" t="s">
        <v>40</v>
      </c>
      <c r="B34" s="7" t="s">
        <v>224</v>
      </c>
      <c r="C34" s="34" t="s">
        <v>225</v>
      </c>
      <c r="D34" s="31"/>
      <c r="E34" s="31"/>
      <c r="F34" s="31"/>
      <c r="G34" s="31"/>
      <c r="H34" s="31"/>
      <c r="I34" s="31"/>
      <c r="J34" s="31"/>
      <c r="K34" s="31"/>
      <c r="L34" s="31"/>
      <c r="M34" s="31"/>
      <c r="N34" s="31"/>
      <c r="O34" s="31"/>
      <c r="P34" s="31"/>
      <c r="Q34" s="32"/>
    </row>
    <row r="35" spans="1:17" ht="30" customHeight="1">
      <c r="A35" s="8">
        <v>1</v>
      </c>
      <c r="B35" s="10"/>
      <c r="C35" s="33"/>
      <c r="D35" s="31"/>
      <c r="E35" s="31"/>
      <c r="F35" s="31"/>
      <c r="G35" s="31"/>
      <c r="H35" s="31"/>
      <c r="I35" s="31"/>
      <c r="J35" s="31"/>
      <c r="K35" s="31"/>
      <c r="L35" s="31"/>
      <c r="M35" s="31"/>
      <c r="N35" s="31"/>
      <c r="O35" s="31"/>
      <c r="P35" s="31"/>
      <c r="Q35" s="32"/>
    </row>
    <row r="36" spans="1:17" ht="30" customHeight="1">
      <c r="A36" s="8">
        <v>2</v>
      </c>
      <c r="B36" s="10"/>
      <c r="C36" s="33"/>
      <c r="D36" s="31"/>
      <c r="E36" s="31"/>
      <c r="F36" s="31"/>
      <c r="G36" s="31"/>
      <c r="H36" s="31"/>
      <c r="I36" s="31"/>
      <c r="J36" s="31"/>
      <c r="K36" s="31"/>
      <c r="L36" s="31"/>
      <c r="M36" s="31"/>
      <c r="N36" s="31"/>
      <c r="O36" s="31"/>
      <c r="P36" s="31"/>
      <c r="Q36" s="32"/>
    </row>
    <row r="37" spans="1:17" ht="30" customHeight="1">
      <c r="A37" s="8">
        <v>3</v>
      </c>
      <c r="B37" s="10"/>
      <c r="C37" s="33"/>
      <c r="D37" s="31"/>
      <c r="E37" s="31"/>
      <c r="F37" s="31"/>
      <c r="G37" s="31"/>
      <c r="H37" s="31"/>
      <c r="I37" s="31"/>
      <c r="J37" s="31"/>
      <c r="K37" s="31"/>
      <c r="L37" s="31"/>
      <c r="M37" s="31"/>
      <c r="N37" s="31"/>
      <c r="O37" s="31"/>
      <c r="P37" s="31"/>
      <c r="Q37" s="32"/>
    </row>
    <row r="38" spans="1:17" ht="30" customHeight="1">
      <c r="A38" s="8">
        <v>4</v>
      </c>
      <c r="B38" s="10"/>
      <c r="C38" s="33"/>
      <c r="D38" s="31"/>
      <c r="E38" s="31"/>
      <c r="F38" s="31"/>
      <c r="G38" s="31"/>
      <c r="H38" s="31"/>
      <c r="I38" s="31"/>
      <c r="J38" s="31"/>
      <c r="K38" s="31"/>
      <c r="L38" s="31"/>
      <c r="M38" s="31"/>
      <c r="N38" s="31"/>
      <c r="O38" s="31"/>
      <c r="P38" s="31"/>
      <c r="Q38" s="32"/>
    </row>
    <row r="39" spans="1:17" ht="30" customHeight="1">
      <c r="A39" s="8">
        <v>5</v>
      </c>
      <c r="B39" s="10"/>
      <c r="C39" s="33"/>
      <c r="D39" s="31"/>
      <c r="E39" s="31"/>
      <c r="F39" s="31"/>
      <c r="G39" s="31"/>
      <c r="H39" s="31"/>
      <c r="I39" s="31"/>
      <c r="J39" s="31"/>
      <c r="K39" s="31"/>
      <c r="L39" s="31"/>
      <c r="M39" s="31"/>
      <c r="N39" s="31"/>
      <c r="O39" s="31"/>
      <c r="P39" s="31"/>
      <c r="Q39" s="32"/>
    </row>
  </sheetData>
  <mergeCells count="17">
    <mergeCell ref="B19:Q19"/>
    <mergeCell ref="B20:Q20"/>
    <mergeCell ref="C29:Q29"/>
    <mergeCell ref="C30:Q30"/>
    <mergeCell ref="C39:Q39"/>
    <mergeCell ref="C25:Q25"/>
    <mergeCell ref="C24:Q24"/>
    <mergeCell ref="C38:Q38"/>
    <mergeCell ref="C36:Q36"/>
    <mergeCell ref="C28:Q28"/>
    <mergeCell ref="C27:Q27"/>
    <mergeCell ref="C37:Q37"/>
    <mergeCell ref="C34:Q34"/>
    <mergeCell ref="C31:Q31"/>
    <mergeCell ref="B21:Q21"/>
    <mergeCell ref="C35:Q35"/>
    <mergeCell ref="C26:Q26"/>
  </mergeCells>
  <conditionalFormatting sqref="B25:B31">
    <cfRule type="cellIs" dxfId="5" priority="5" operator="equal">
      <formula>"CHƯA ĐẠT"</formula>
    </cfRule>
    <cfRule type="cellIs" dxfId="4" priority="6" operator="equal">
      <formula>"Cần sửa"</formula>
    </cfRule>
  </conditionalFormatting>
  <conditionalFormatting sqref="Q6:Q16">
    <cfRule type="cellIs" dxfId="3" priority="1" operator="equal">
      <formula>"ĐẠT"</formula>
    </cfRule>
    <cfRule type="cellIs" dxfId="2" priority="2" operator="equal">
      <formula>"Ổn"</formula>
    </cfRule>
    <cfRule type="cellIs" dxfId="1" priority="3" operator="equal">
      <formula>"CHƯA ĐẠT"</formula>
    </cfRule>
    <cfRule type="cellIs" dxfId="0" priority="4" operator="equal">
      <formula>"Cần sửa"</formula>
    </cfRule>
  </conditionalFormatting>
  <pageMargins left="0.4" right="0.4" top="0.5" bottom="0.5" header="0.5" footer="0.5"/>
  <pageSetup paperSize="9"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Trang tính</vt:lpstr>
      </vt:variant>
      <vt:variant>
        <vt:i4>7</vt:i4>
      </vt:variant>
      <vt:variant>
        <vt:lpstr>Phạm vi Có tên</vt:lpstr>
      </vt:variant>
      <vt:variant>
        <vt:i4>6</vt:i4>
      </vt:variant>
    </vt:vector>
  </HeadingPairs>
  <TitlesOfParts>
    <vt:vector size="13" baseType="lpstr">
      <vt:lpstr>Hướng dẫn</vt:lpstr>
      <vt:lpstr>Chuẩn bị</vt:lpstr>
      <vt:lpstr>KB Học sinh</vt:lpstr>
      <vt:lpstr>KB Giáo viên</vt:lpstr>
      <vt:lpstr>KB Tổ trưởng</vt:lpstr>
      <vt:lpstr>Bảng bấm giờ</vt:lpstr>
      <vt:lpstr>Tổng hợp</vt:lpstr>
      <vt:lpstr>'Bảng bấm giờ'!Print_Titles</vt:lpstr>
      <vt:lpstr>'Chuẩn bị'!Print_Titles</vt:lpstr>
      <vt:lpstr>'KB Giáo viên'!Print_Titles</vt:lpstr>
      <vt:lpstr>'KB Học sinh'!Print_Titles</vt:lpstr>
      <vt:lpstr>'KB Tổ trưởng'!Print_Titles</vt:lpstr>
      <vt:lpstr>'Tổng hợp'!Print_Titles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Dương Đức Hiếu | Tổ phó</cp:lastModifiedBy>
  <dcterms:created xsi:type="dcterms:W3CDTF">2026-10-03T15:01:15Z</dcterms:created>
  <dcterms:modified xsi:type="dcterms:W3CDTF">2026-10-03T15:01:20Z</dcterms:modified>
</cp:coreProperties>
</file>